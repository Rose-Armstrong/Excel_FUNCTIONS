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5ba02830c477b79/Desktop/Power BI projects/EXCEL/HR_Excel_Series_Dataset/"/>
    </mc:Choice>
  </mc:AlternateContent>
  <xr:revisionPtr revIDLastSave="618" documentId="11_B6D3ABEA053CE07ECE309C44C71EAEB976D17530" xr6:coauthVersionLast="47" xr6:coauthVersionMax="47" xr10:uidLastSave="{FDB88AA7-3B59-4771-81A6-D05DB12D64ED}"/>
  <bookViews>
    <workbookView xWindow="-108" yWindow="-108" windowWidth="23256" windowHeight="13176" tabRatio="500" activeTab="1" xr2:uid="{00000000-000D-0000-FFFF-FFFF00000000}"/>
  </bookViews>
  <sheets>
    <sheet name="Employee_Data" sheetId="1" r:id="rId1"/>
    <sheet name="Day5_AVERAGEIF-S" sheetId="5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" i="5" l="1"/>
  <c r="G6" i="5"/>
  <c r="G7" i="5"/>
  <c r="G8" i="5"/>
  <c r="G9" i="5"/>
  <c r="G4" i="5"/>
  <c r="F5" i="5"/>
  <c r="F6" i="5"/>
  <c r="F7" i="5"/>
  <c r="F8" i="5"/>
  <c r="F9" i="5"/>
  <c r="F4" i="5"/>
  <c r="E5" i="5"/>
  <c r="E6" i="5"/>
  <c r="E7" i="5"/>
  <c r="E8" i="5"/>
  <c r="E9" i="5"/>
  <c r="E4" i="5"/>
  <c r="D5" i="5"/>
  <c r="D6" i="5"/>
  <c r="D7" i="5"/>
  <c r="D8" i="5"/>
  <c r="D9" i="5"/>
  <c r="D4" i="5"/>
  <c r="C5" i="5"/>
  <c r="C6" i="5"/>
  <c r="C7" i="5"/>
  <c r="C8" i="5"/>
  <c r="C9" i="5"/>
  <c r="C4" i="5"/>
  <c r="B5" i="5"/>
  <c r="B6" i="5"/>
  <c r="B7" i="5"/>
  <c r="B8" i="5"/>
  <c r="B9" i="5"/>
  <c r="B4" i="5"/>
</calcChain>
</file>

<file path=xl/sharedStrings.xml><?xml version="1.0" encoding="utf-8"?>
<sst xmlns="http://schemas.openxmlformats.org/spreadsheetml/2006/main" count="449" uniqueCount="207">
  <si>
    <t>HR Employee Dataset — IF &amp; Aggregate Functions Practice</t>
  </si>
  <si>
    <t>Emp_ID</t>
  </si>
  <si>
    <t>Name</t>
  </si>
  <si>
    <t>Department</t>
  </si>
  <si>
    <t>Gender</t>
  </si>
  <si>
    <t>Age</t>
  </si>
  <si>
    <t>Join_Date</t>
  </si>
  <si>
    <t>Years_of_Service</t>
  </si>
  <si>
    <t>Salary</t>
  </si>
  <si>
    <t>Performance_Score</t>
  </si>
  <si>
    <t>Attendance_%</t>
  </si>
  <si>
    <t>Training_Hours</t>
  </si>
  <si>
    <t>Promoted</t>
  </si>
  <si>
    <t>City</t>
  </si>
  <si>
    <t>Status</t>
  </si>
  <si>
    <t>EMP101</t>
  </si>
  <si>
    <t>James Carter</t>
  </si>
  <si>
    <t>HR</t>
  </si>
  <si>
    <t>Male</t>
  </si>
  <si>
    <t>2024-09-03</t>
  </si>
  <si>
    <t>No</t>
  </si>
  <si>
    <t>Austin</t>
  </si>
  <si>
    <t>Active</t>
  </si>
  <si>
    <t>EMP102</t>
  </si>
  <si>
    <t>Sophia Williams</t>
  </si>
  <si>
    <t>Finance</t>
  </si>
  <si>
    <t>Female</t>
  </si>
  <si>
    <t>2024-11-23</t>
  </si>
  <si>
    <t>Dallas</t>
  </si>
  <si>
    <t>EMP103</t>
  </si>
  <si>
    <t>Liam Johnson</t>
  </si>
  <si>
    <t>IT</t>
  </si>
  <si>
    <t>2024-12-14</t>
  </si>
  <si>
    <t>Seattle</t>
  </si>
  <si>
    <t>EMP104</t>
  </si>
  <si>
    <t>Olivia Brown</t>
  </si>
  <si>
    <t>Marketing</t>
  </si>
  <si>
    <t>2024-06-28</t>
  </si>
  <si>
    <t>New York</t>
  </si>
  <si>
    <t>EMP105</t>
  </si>
  <si>
    <t>Noah Davis</t>
  </si>
  <si>
    <t>Operations</t>
  </si>
  <si>
    <t>2024-07-03</t>
  </si>
  <si>
    <t>Yes</t>
  </si>
  <si>
    <t>EMP106</t>
  </si>
  <si>
    <t>Emma Miller</t>
  </si>
  <si>
    <t>Sales</t>
  </si>
  <si>
    <t>2024-05-03</t>
  </si>
  <si>
    <t>EMP107</t>
  </si>
  <si>
    <t>William Wilson</t>
  </si>
  <si>
    <t>2024-04-22</t>
  </si>
  <si>
    <t>Chicago</t>
  </si>
  <si>
    <t>EMP108</t>
  </si>
  <si>
    <t>Ava Moore</t>
  </si>
  <si>
    <t>2024-05-21</t>
  </si>
  <si>
    <t>EMP109</t>
  </si>
  <si>
    <t>Benjamin Taylor</t>
  </si>
  <si>
    <t>2024-06-13</t>
  </si>
  <si>
    <t>EMP110</t>
  </si>
  <si>
    <t>Isabella Anderson</t>
  </si>
  <si>
    <t>2024-07-21</t>
  </si>
  <si>
    <t>EMP111</t>
  </si>
  <si>
    <t>Lucas Thomas</t>
  </si>
  <si>
    <t>2024-07-19</t>
  </si>
  <si>
    <t>Houston</t>
  </si>
  <si>
    <t>EMP112</t>
  </si>
  <si>
    <t>Mia Jackson</t>
  </si>
  <si>
    <t>2024-02-05</t>
  </si>
  <si>
    <t>EMP113</t>
  </si>
  <si>
    <t>Mason White</t>
  </si>
  <si>
    <t>2024-09-28</t>
  </si>
  <si>
    <t>EMP114</t>
  </si>
  <si>
    <t>Charlotte Harris</t>
  </si>
  <si>
    <t>2024-03-15</t>
  </si>
  <si>
    <t>EMP115</t>
  </si>
  <si>
    <t>Ethan Martin</t>
  </si>
  <si>
    <t>2024-11-17</t>
  </si>
  <si>
    <t>EMP116</t>
  </si>
  <si>
    <t>Amelia Garcia</t>
  </si>
  <si>
    <t>2024-08-01</t>
  </si>
  <si>
    <t>EMP117</t>
  </si>
  <si>
    <t>Alexander Martinez</t>
  </si>
  <si>
    <t>2024-10-03</t>
  </si>
  <si>
    <t>EMP118</t>
  </si>
  <si>
    <t>Harper Robinson</t>
  </si>
  <si>
    <t>2024-09-06</t>
  </si>
  <si>
    <t>EMP119</t>
  </si>
  <si>
    <t>Henry Clark</t>
  </si>
  <si>
    <t>2024-04-23</t>
  </si>
  <si>
    <t>EMP120</t>
  </si>
  <si>
    <t>Evelyn Rodriguez</t>
  </si>
  <si>
    <t>2024-06-01</t>
  </si>
  <si>
    <t>EMP121</t>
  </si>
  <si>
    <t>Sebastian Lewis</t>
  </si>
  <si>
    <t>2024-01-28</t>
  </si>
  <si>
    <t>Inactive</t>
  </si>
  <si>
    <t>EMP122</t>
  </si>
  <si>
    <t>Abigail Lee</t>
  </si>
  <si>
    <t>2024-10-19</t>
  </si>
  <si>
    <t>EMP123</t>
  </si>
  <si>
    <t>Jack Walker</t>
  </si>
  <si>
    <t>2024-06-14</t>
  </si>
  <si>
    <t>EMP124</t>
  </si>
  <si>
    <t>Emily Hall</t>
  </si>
  <si>
    <t>2024-06-26</t>
  </si>
  <si>
    <t>EMP125</t>
  </si>
  <si>
    <t>Owen Allen</t>
  </si>
  <si>
    <t>2024-04-28</t>
  </si>
  <si>
    <t>EMP126</t>
  </si>
  <si>
    <t>Elizabeth Young</t>
  </si>
  <si>
    <t>2024-02-25</t>
  </si>
  <si>
    <t>EMP127</t>
  </si>
  <si>
    <t>Daniel Hernandez</t>
  </si>
  <si>
    <t>2024-01-13</t>
  </si>
  <si>
    <t>EMP128</t>
  </si>
  <si>
    <t>Sofia King</t>
  </si>
  <si>
    <t>2024-04-02</t>
  </si>
  <si>
    <t>EMP129</t>
  </si>
  <si>
    <t>Logan Wright</t>
  </si>
  <si>
    <t>EMP130</t>
  </si>
  <si>
    <t>Avery Lopez</t>
  </si>
  <si>
    <t>2024-07-04</t>
  </si>
  <si>
    <t>EMP131</t>
  </si>
  <si>
    <t>Jackson Hill</t>
  </si>
  <si>
    <t>EMP132</t>
  </si>
  <si>
    <t>Ella Scott</t>
  </si>
  <si>
    <t>2024-02-01</t>
  </si>
  <si>
    <t>Phoenix</t>
  </si>
  <si>
    <t>EMP133</t>
  </si>
  <si>
    <t>Aiden Green</t>
  </si>
  <si>
    <t>2024-06-03</t>
  </si>
  <si>
    <t>EMP134</t>
  </si>
  <si>
    <t>Scarlett Adams</t>
  </si>
  <si>
    <t>EMP135</t>
  </si>
  <si>
    <t>Samuel Baker</t>
  </si>
  <si>
    <t>2024-02-24</t>
  </si>
  <si>
    <t>EMP136</t>
  </si>
  <si>
    <t>Grace Nelson</t>
  </si>
  <si>
    <t>2024-05-17</t>
  </si>
  <si>
    <t>EMP137</t>
  </si>
  <si>
    <t>Michael Gonzalez</t>
  </si>
  <si>
    <t>2024-01-11</t>
  </si>
  <si>
    <t>EMP138</t>
  </si>
  <si>
    <t>Chloe Carter</t>
  </si>
  <si>
    <t>2024-02-23</t>
  </si>
  <si>
    <t>EMP139</t>
  </si>
  <si>
    <t>Elijah Mitchell</t>
  </si>
  <si>
    <t>2024-05-12</t>
  </si>
  <si>
    <t>EMP140</t>
  </si>
  <si>
    <t>Lily Perez</t>
  </si>
  <si>
    <t>2024-07-20</t>
  </si>
  <si>
    <t>EMP141</t>
  </si>
  <si>
    <t>Matthew Roberts</t>
  </si>
  <si>
    <t>2024-12-11</t>
  </si>
  <si>
    <t>EMP142</t>
  </si>
  <si>
    <t>Zoey Turner</t>
  </si>
  <si>
    <t>2024-08-08</t>
  </si>
  <si>
    <t>EMP143</t>
  </si>
  <si>
    <t>David Phillips</t>
  </si>
  <si>
    <t>2024-04-13</t>
  </si>
  <si>
    <t>EMP144</t>
  </si>
  <si>
    <t>Nora Campbell</t>
  </si>
  <si>
    <t>2024-09-11</t>
  </si>
  <si>
    <t>EMP145</t>
  </si>
  <si>
    <t>Joseph Parker</t>
  </si>
  <si>
    <t>2024-07-12</t>
  </si>
  <si>
    <t>EMP146</t>
  </si>
  <si>
    <t>Riley Evans</t>
  </si>
  <si>
    <t>2024-07-01</t>
  </si>
  <si>
    <t>EMP147</t>
  </si>
  <si>
    <t>Carter Edwards</t>
  </si>
  <si>
    <t>2024-11-11</t>
  </si>
  <si>
    <t>EMP148</t>
  </si>
  <si>
    <t>Hannah Collins</t>
  </si>
  <si>
    <t>2024-09-05</t>
  </si>
  <si>
    <t>EMP149</t>
  </si>
  <si>
    <t>Wyatt Stewart</t>
  </si>
  <si>
    <t>2024-07-18</t>
  </si>
  <si>
    <t>EMP150</t>
  </si>
  <si>
    <t>Layla Sanchez</t>
  </si>
  <si>
    <t>2024-11-07</t>
  </si>
  <si>
    <t>Day 5 — AVERAGEIF &amp; AVERAGEIFS Functions</t>
  </si>
  <si>
    <t>Average Metrics by Department — AVERAGEIF &amp; AVERAGEIFS</t>
  </si>
  <si>
    <t>Avg Salary
(AVERAGEIF)</t>
  </si>
  <si>
    <t>Avg Performance
(AVERAGEIF)</t>
  </si>
  <si>
    <t>Avg Attendance
(AVERAGEIFS Active)</t>
  </si>
  <si>
    <t>Avg Salary Male
(AVERAGEIFS)</t>
  </si>
  <si>
    <t>Avg Salary Female
(AVERAGEIFS)</t>
  </si>
  <si>
    <t>AVERAGEIF</t>
  </si>
  <si>
    <t>AVERAGEIFS</t>
  </si>
  <si>
    <t>IFERROR</t>
  </si>
  <si>
    <t>criteria_range1 = "like lookup array"</t>
  </si>
  <si>
    <t>criteria1 = "What you looking for"</t>
  </si>
  <si>
    <t>criteria2 = "What you looking for"</t>
  </si>
  <si>
    <t>criteria_range2 = "like another lookup"</t>
  </si>
  <si>
    <t>IFERROR(AVERAGEIF(Employee_Data!C3:C52,A4,Employee_Data!H3:H52),0)</t>
  </si>
  <si>
    <t>IFERROR(AVERAGEIF(Employee_Data!C3:C52,A4,Employee_Data!I3:I52),0)</t>
  </si>
  <si>
    <t>IFERROR(AVERAGEIFS(Employee_Data!J3:J52,Employee_Data!C3:C52,A4,Employee_Data!N3:N52,"Active"),0)</t>
  </si>
  <si>
    <t>IFERROR(AVERAGEIFS(Employee_Data!K3:K52,Employee_Data!C3:C52,A4,Employee_Data!N3:N52,"Active"),0)</t>
  </si>
  <si>
    <t>IFERROR(AVERAGEIFS(Employee_Data!H3:H52,Employee_Data!C3:C52,A4,Employee_Data!D3:D52,"Male"),0)</t>
  </si>
  <si>
    <t>IFERROR(AVERAGEIFS(Employee_Data!H3:H52,Employee_Data!C3:C52,A4,Employee_Data!D3:D52,"Female"),0)</t>
  </si>
  <si>
    <t>criteria = "What you looking for"; eg: HR</t>
  </si>
  <si>
    <t>range = "like lookup array"; eg: Department</t>
  </si>
  <si>
    <t>average_range = "values to average"; eg: Salary</t>
  </si>
  <si>
    <t>value = "the answer it shows if no error occurs"</t>
  </si>
  <si>
    <t>value_if_error = "the answer it shows when there is error"</t>
  </si>
  <si>
    <t>Avg Training Hrs
(AVERAGEIFS Active)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</si>
</sst>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"/>
    <numFmt numFmtId="166" formatCode="0.0%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b/>
      <sz val="10"/>
      <color rgb="FF0070C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0070C0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EEF2FF"/>
      </patternFill>
    </fill>
    <fill>
      <patternFill patternType="solid">
        <fgColor rgb="FFEEF2FF"/>
        <bgColor rgb="FFFFFFFF"/>
      </patternFill>
    </fill>
    <fill>
      <patternFill patternType="solid">
        <fgColor rgb="FF375623"/>
        <bgColor rgb="FF333300"/>
      </patternFill>
    </fill>
    <fill>
      <patternFill patternType="solid">
        <fgColor rgb="FFE2EFDA"/>
        <bgColor rgb="FFEEF2FF"/>
      </patternFill>
    </fill>
    <fill>
      <patternFill patternType="solid">
        <fgColor rgb="FFD9E1F2"/>
        <bgColor rgb="FFE2EFDA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7" fillId="4" borderId="1" xfId="0" applyFont="1" applyFill="1" applyBorder="1"/>
    <xf numFmtId="0" fontId="7" fillId="5" borderId="1" xfId="0" applyFont="1" applyFill="1" applyBorder="1"/>
    <xf numFmtId="164" fontId="5" fillId="7" borderId="1" xfId="0" applyNumberFormat="1" applyFont="1" applyFill="1" applyBorder="1" applyAlignment="1">
      <alignment horizontal="center" vertical="center"/>
    </xf>
    <xf numFmtId="2" fontId="5" fillId="7" borderId="1" xfId="0" applyNumberFormat="1" applyFont="1" applyFill="1" applyBorder="1" applyAlignment="1">
      <alignment horizontal="center" vertical="center"/>
    </xf>
    <xf numFmtId="166" fontId="5" fillId="7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0" fontId="0" fillId="9" borderId="4" xfId="0" applyFill="1" applyBorder="1"/>
    <xf numFmtId="0" fontId="0" fillId="9" borderId="5" xfId="0" applyFill="1" applyBorder="1"/>
    <xf numFmtId="0" fontId="0" fillId="9" borderId="3" xfId="0" applyFill="1" applyBorder="1" applyAlignment="1">
      <alignment horizontal="center"/>
    </xf>
    <xf numFmtId="0" fontId="0" fillId="10" borderId="2" xfId="0" applyFill="1" applyBorder="1"/>
    <xf numFmtId="0" fontId="0" fillId="9" borderId="4" xfId="0" applyFill="1" applyBorder="1" applyAlignment="1">
      <alignment horizontal="left"/>
    </xf>
    <xf numFmtId="0" fontId="0" fillId="9" borderId="5" xfId="0" applyFill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left"/>
    </xf>
    <xf numFmtId="0" fontId="4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EF2FF"/>
      <rgbColor rgb="FF4B0082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opLeftCell="A26" zoomScaleNormal="100" workbookViewId="0">
      <selection activeCell="A2" activeCellId="1" sqref="A1:XFD1 A2:XFD2"/>
    </sheetView>
  </sheetViews>
  <sheetFormatPr defaultColWidth="8.6640625" defaultRowHeight="14.4" x14ac:dyDescent="0.3"/>
  <cols>
    <col min="1" max="1" width="10" customWidth="1"/>
    <col min="2" max="2" width="18" customWidth="1"/>
    <col min="3" max="3" width="12" customWidth="1"/>
    <col min="4" max="4" width="8" customWidth="1"/>
    <col min="5" max="5" width="6" customWidth="1"/>
    <col min="6" max="6" width="12" customWidth="1"/>
    <col min="7" max="7" width="16" customWidth="1"/>
    <col min="8" max="8" width="12" customWidth="1"/>
    <col min="9" max="9" width="16" customWidth="1"/>
    <col min="10" max="10" width="13" customWidth="1"/>
    <col min="11" max="11" width="15" customWidth="1"/>
    <col min="12" max="12" width="10" customWidth="1"/>
    <col min="13" max="13" width="12" customWidth="1"/>
    <col min="14" max="14" width="10" customWidth="1"/>
  </cols>
  <sheetData>
    <row r="1" spans="1:14" ht="30" customHeight="1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31.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5" customHeight="1" x14ac:dyDescent="0.3">
      <c r="A3" s="2" t="s">
        <v>15</v>
      </c>
      <c r="B3" s="3" t="s">
        <v>16</v>
      </c>
      <c r="C3" s="3" t="s">
        <v>17</v>
      </c>
      <c r="D3" s="2" t="s">
        <v>18</v>
      </c>
      <c r="E3" s="2">
        <v>30</v>
      </c>
      <c r="F3" s="2" t="s">
        <v>19</v>
      </c>
      <c r="G3" s="2">
        <v>1</v>
      </c>
      <c r="H3" s="4">
        <v>69200</v>
      </c>
      <c r="I3" s="5">
        <v>2.8</v>
      </c>
      <c r="J3" s="5">
        <v>78.2</v>
      </c>
      <c r="K3" s="3">
        <v>23</v>
      </c>
      <c r="L3" s="2" t="s">
        <v>20</v>
      </c>
      <c r="M3" s="2" t="s">
        <v>21</v>
      </c>
      <c r="N3" s="2" t="s">
        <v>22</v>
      </c>
    </row>
    <row r="4" spans="1:14" ht="15" customHeight="1" x14ac:dyDescent="0.3">
      <c r="A4" s="6" t="s">
        <v>23</v>
      </c>
      <c r="B4" s="7" t="s">
        <v>24</v>
      </c>
      <c r="C4" s="7" t="s">
        <v>25</v>
      </c>
      <c r="D4" s="6" t="s">
        <v>26</v>
      </c>
      <c r="E4" s="6">
        <v>50</v>
      </c>
      <c r="F4" s="6" t="s">
        <v>27</v>
      </c>
      <c r="G4" s="6">
        <v>2</v>
      </c>
      <c r="H4" s="8">
        <v>56900</v>
      </c>
      <c r="I4" s="9">
        <v>2.2999999999999998</v>
      </c>
      <c r="J4" s="9">
        <v>78.5</v>
      </c>
      <c r="K4" s="7">
        <v>13</v>
      </c>
      <c r="L4" s="6" t="s">
        <v>20</v>
      </c>
      <c r="M4" s="6" t="s">
        <v>28</v>
      </c>
      <c r="N4" s="6" t="s">
        <v>22</v>
      </c>
    </row>
    <row r="5" spans="1:14" ht="15" customHeight="1" x14ac:dyDescent="0.3">
      <c r="A5" s="2" t="s">
        <v>29</v>
      </c>
      <c r="B5" s="3" t="s">
        <v>30</v>
      </c>
      <c r="C5" s="3" t="s">
        <v>31</v>
      </c>
      <c r="D5" s="2" t="s">
        <v>18</v>
      </c>
      <c r="E5" s="2">
        <v>57</v>
      </c>
      <c r="F5" s="2" t="s">
        <v>32</v>
      </c>
      <c r="G5" s="2">
        <v>14</v>
      </c>
      <c r="H5" s="4">
        <v>74400</v>
      </c>
      <c r="I5" s="5">
        <v>3.3</v>
      </c>
      <c r="J5" s="5">
        <v>79.8</v>
      </c>
      <c r="K5" s="3">
        <v>10</v>
      </c>
      <c r="L5" s="2" t="s">
        <v>20</v>
      </c>
      <c r="M5" s="2" t="s">
        <v>33</v>
      </c>
      <c r="N5" s="2" t="s">
        <v>22</v>
      </c>
    </row>
    <row r="6" spans="1:14" ht="15" customHeight="1" x14ac:dyDescent="0.3">
      <c r="A6" s="6" t="s">
        <v>34</v>
      </c>
      <c r="B6" s="7" t="s">
        <v>35</v>
      </c>
      <c r="C6" s="7" t="s">
        <v>36</v>
      </c>
      <c r="D6" s="6" t="s">
        <v>26</v>
      </c>
      <c r="E6" s="6">
        <v>44</v>
      </c>
      <c r="F6" s="6" t="s">
        <v>37</v>
      </c>
      <c r="G6" s="6">
        <v>9</v>
      </c>
      <c r="H6" s="8">
        <v>58100</v>
      </c>
      <c r="I6" s="9">
        <v>2.6</v>
      </c>
      <c r="J6" s="9">
        <v>93.4</v>
      </c>
      <c r="K6" s="7">
        <v>23</v>
      </c>
      <c r="L6" s="6" t="s">
        <v>20</v>
      </c>
      <c r="M6" s="6" t="s">
        <v>38</v>
      </c>
      <c r="N6" s="6" t="s">
        <v>22</v>
      </c>
    </row>
    <row r="7" spans="1:14" ht="15" customHeight="1" x14ac:dyDescent="0.3">
      <c r="A7" s="2" t="s">
        <v>39</v>
      </c>
      <c r="B7" s="3" t="s">
        <v>40</v>
      </c>
      <c r="C7" s="3" t="s">
        <v>41</v>
      </c>
      <c r="D7" s="2" t="s">
        <v>18</v>
      </c>
      <c r="E7" s="2">
        <v>45</v>
      </c>
      <c r="F7" s="2" t="s">
        <v>42</v>
      </c>
      <c r="G7" s="2">
        <v>20</v>
      </c>
      <c r="H7" s="4">
        <v>50600</v>
      </c>
      <c r="I7" s="5">
        <v>4.4000000000000004</v>
      </c>
      <c r="J7" s="5">
        <v>92.4</v>
      </c>
      <c r="K7" s="3">
        <v>78</v>
      </c>
      <c r="L7" s="2" t="s">
        <v>43</v>
      </c>
      <c r="M7" s="2" t="s">
        <v>38</v>
      </c>
      <c r="N7" s="2" t="s">
        <v>22</v>
      </c>
    </row>
    <row r="8" spans="1:14" ht="15" customHeight="1" x14ac:dyDescent="0.3">
      <c r="A8" s="6" t="s">
        <v>44</v>
      </c>
      <c r="B8" s="7" t="s">
        <v>45</v>
      </c>
      <c r="C8" s="7" t="s">
        <v>46</v>
      </c>
      <c r="D8" s="6" t="s">
        <v>26</v>
      </c>
      <c r="E8" s="6">
        <v>58</v>
      </c>
      <c r="F8" s="6" t="s">
        <v>47</v>
      </c>
      <c r="G8" s="6">
        <v>10</v>
      </c>
      <c r="H8" s="8">
        <v>73700</v>
      </c>
      <c r="I8" s="9">
        <v>3.7</v>
      </c>
      <c r="J8" s="9">
        <v>91.7</v>
      </c>
      <c r="K8" s="7">
        <v>15</v>
      </c>
      <c r="L8" s="6" t="s">
        <v>20</v>
      </c>
      <c r="M8" s="6" t="s">
        <v>21</v>
      </c>
      <c r="N8" s="6" t="s">
        <v>22</v>
      </c>
    </row>
    <row r="9" spans="1:14" ht="15" customHeight="1" x14ac:dyDescent="0.3">
      <c r="A9" s="2" t="s">
        <v>48</v>
      </c>
      <c r="B9" s="3" t="s">
        <v>49</v>
      </c>
      <c r="C9" s="3" t="s">
        <v>17</v>
      </c>
      <c r="D9" s="2" t="s">
        <v>18</v>
      </c>
      <c r="E9" s="2">
        <v>37</v>
      </c>
      <c r="F9" s="2" t="s">
        <v>50</v>
      </c>
      <c r="G9" s="2">
        <v>4</v>
      </c>
      <c r="H9" s="4">
        <v>57400</v>
      </c>
      <c r="I9" s="5">
        <v>2.8</v>
      </c>
      <c r="J9" s="5">
        <v>89.8</v>
      </c>
      <c r="K9" s="3">
        <v>56</v>
      </c>
      <c r="L9" s="2" t="s">
        <v>20</v>
      </c>
      <c r="M9" s="2" t="s">
        <v>51</v>
      </c>
      <c r="N9" s="2" t="s">
        <v>22</v>
      </c>
    </row>
    <row r="10" spans="1:14" ht="15" customHeight="1" x14ac:dyDescent="0.3">
      <c r="A10" s="6" t="s">
        <v>52</v>
      </c>
      <c r="B10" s="7" t="s">
        <v>53</v>
      </c>
      <c r="C10" s="7" t="s">
        <v>25</v>
      </c>
      <c r="D10" s="6" t="s">
        <v>26</v>
      </c>
      <c r="E10" s="6">
        <v>40</v>
      </c>
      <c r="F10" s="6" t="s">
        <v>54</v>
      </c>
      <c r="G10" s="6">
        <v>3</v>
      </c>
      <c r="H10" s="8">
        <v>94900</v>
      </c>
      <c r="I10" s="9">
        <v>3.9</v>
      </c>
      <c r="J10" s="9">
        <v>87</v>
      </c>
      <c r="K10" s="7">
        <v>41</v>
      </c>
      <c r="L10" s="6" t="s">
        <v>20</v>
      </c>
      <c r="M10" s="6" t="s">
        <v>51</v>
      </c>
      <c r="N10" s="6" t="s">
        <v>22</v>
      </c>
    </row>
    <row r="11" spans="1:14" ht="15" customHeight="1" x14ac:dyDescent="0.3">
      <c r="A11" s="2" t="s">
        <v>55</v>
      </c>
      <c r="B11" s="3" t="s">
        <v>56</v>
      </c>
      <c r="C11" s="3" t="s">
        <v>31</v>
      </c>
      <c r="D11" s="2" t="s">
        <v>18</v>
      </c>
      <c r="E11" s="2">
        <v>58</v>
      </c>
      <c r="F11" s="2" t="s">
        <v>57</v>
      </c>
      <c r="G11" s="2">
        <v>8</v>
      </c>
      <c r="H11" s="4">
        <v>104800</v>
      </c>
      <c r="I11" s="5">
        <v>3</v>
      </c>
      <c r="J11" s="5">
        <v>93.5</v>
      </c>
      <c r="K11" s="3">
        <v>17</v>
      </c>
      <c r="L11" s="2" t="s">
        <v>20</v>
      </c>
      <c r="M11" s="2" t="s">
        <v>51</v>
      </c>
      <c r="N11" s="2" t="s">
        <v>22</v>
      </c>
    </row>
    <row r="12" spans="1:14" ht="15" customHeight="1" x14ac:dyDescent="0.3">
      <c r="A12" s="6" t="s">
        <v>58</v>
      </c>
      <c r="B12" s="7" t="s">
        <v>59</v>
      </c>
      <c r="C12" s="7" t="s">
        <v>36</v>
      </c>
      <c r="D12" s="6" t="s">
        <v>26</v>
      </c>
      <c r="E12" s="6">
        <v>40</v>
      </c>
      <c r="F12" s="6" t="s">
        <v>60</v>
      </c>
      <c r="G12" s="6">
        <v>3</v>
      </c>
      <c r="H12" s="8">
        <v>61800</v>
      </c>
      <c r="I12" s="9">
        <v>4.7</v>
      </c>
      <c r="J12" s="9">
        <v>87.9</v>
      </c>
      <c r="K12" s="7">
        <v>50</v>
      </c>
      <c r="L12" s="6" t="s">
        <v>43</v>
      </c>
      <c r="M12" s="6" t="s">
        <v>51</v>
      </c>
      <c r="N12" s="6" t="s">
        <v>22</v>
      </c>
    </row>
    <row r="13" spans="1:14" ht="15" customHeight="1" x14ac:dyDescent="0.3">
      <c r="A13" s="2" t="s">
        <v>61</v>
      </c>
      <c r="B13" s="3" t="s">
        <v>62</v>
      </c>
      <c r="C13" s="3" t="s">
        <v>41</v>
      </c>
      <c r="D13" s="2" t="s">
        <v>18</v>
      </c>
      <c r="E13" s="2">
        <v>52</v>
      </c>
      <c r="F13" s="2" t="s">
        <v>63</v>
      </c>
      <c r="G13" s="2">
        <v>5</v>
      </c>
      <c r="H13" s="4">
        <v>50600</v>
      </c>
      <c r="I13" s="5">
        <v>2.4</v>
      </c>
      <c r="J13" s="5">
        <v>92.9</v>
      </c>
      <c r="K13" s="3">
        <v>78</v>
      </c>
      <c r="L13" s="2" t="s">
        <v>20</v>
      </c>
      <c r="M13" s="2" t="s">
        <v>64</v>
      </c>
      <c r="N13" s="2" t="s">
        <v>22</v>
      </c>
    </row>
    <row r="14" spans="1:14" ht="15" customHeight="1" x14ac:dyDescent="0.3">
      <c r="A14" s="6" t="s">
        <v>65</v>
      </c>
      <c r="B14" s="7" t="s">
        <v>66</v>
      </c>
      <c r="C14" s="7" t="s">
        <v>46</v>
      </c>
      <c r="D14" s="6" t="s">
        <v>26</v>
      </c>
      <c r="E14" s="6">
        <v>48</v>
      </c>
      <c r="F14" s="6" t="s">
        <v>67</v>
      </c>
      <c r="G14" s="6">
        <v>12</v>
      </c>
      <c r="H14" s="8">
        <v>64300</v>
      </c>
      <c r="I14" s="9">
        <v>5</v>
      </c>
      <c r="J14" s="9">
        <v>75.900000000000006</v>
      </c>
      <c r="K14" s="7">
        <v>73</v>
      </c>
      <c r="L14" s="6" t="s">
        <v>43</v>
      </c>
      <c r="M14" s="6" t="s">
        <v>38</v>
      </c>
      <c r="N14" s="6" t="s">
        <v>22</v>
      </c>
    </row>
    <row r="15" spans="1:14" ht="15" customHeight="1" x14ac:dyDescent="0.3">
      <c r="A15" s="2" t="s">
        <v>68</v>
      </c>
      <c r="B15" s="3" t="s">
        <v>69</v>
      </c>
      <c r="C15" s="3" t="s">
        <v>17</v>
      </c>
      <c r="D15" s="2" t="s">
        <v>18</v>
      </c>
      <c r="E15" s="2">
        <v>33</v>
      </c>
      <c r="F15" s="2" t="s">
        <v>70</v>
      </c>
      <c r="G15" s="2">
        <v>14</v>
      </c>
      <c r="H15" s="4">
        <v>64500</v>
      </c>
      <c r="I15" s="5">
        <v>2.2000000000000002</v>
      </c>
      <c r="J15" s="5">
        <v>82.7</v>
      </c>
      <c r="K15" s="3">
        <v>69</v>
      </c>
      <c r="L15" s="2" t="s">
        <v>20</v>
      </c>
      <c r="M15" s="2" t="s">
        <v>28</v>
      </c>
      <c r="N15" s="2" t="s">
        <v>22</v>
      </c>
    </row>
    <row r="16" spans="1:14" ht="15" customHeight="1" x14ac:dyDescent="0.3">
      <c r="A16" s="6" t="s">
        <v>71</v>
      </c>
      <c r="B16" s="7" t="s">
        <v>72</v>
      </c>
      <c r="C16" s="7" t="s">
        <v>25</v>
      </c>
      <c r="D16" s="6" t="s">
        <v>26</v>
      </c>
      <c r="E16" s="6">
        <v>23</v>
      </c>
      <c r="F16" s="6" t="s">
        <v>73</v>
      </c>
      <c r="G16" s="6">
        <v>4</v>
      </c>
      <c r="H16" s="8">
        <v>90100</v>
      </c>
      <c r="I16" s="9">
        <v>4.3</v>
      </c>
      <c r="J16" s="9">
        <v>93.5</v>
      </c>
      <c r="K16" s="7">
        <v>53</v>
      </c>
      <c r="L16" s="6" t="s">
        <v>43</v>
      </c>
      <c r="M16" s="6" t="s">
        <v>38</v>
      </c>
      <c r="N16" s="6" t="s">
        <v>22</v>
      </c>
    </row>
    <row r="17" spans="1:14" ht="15" customHeight="1" x14ac:dyDescent="0.3">
      <c r="A17" s="2" t="s">
        <v>74</v>
      </c>
      <c r="B17" s="3" t="s">
        <v>75</v>
      </c>
      <c r="C17" s="3" t="s">
        <v>31</v>
      </c>
      <c r="D17" s="2" t="s">
        <v>18</v>
      </c>
      <c r="E17" s="2">
        <v>23</v>
      </c>
      <c r="F17" s="2" t="s">
        <v>76</v>
      </c>
      <c r="G17" s="2">
        <v>9</v>
      </c>
      <c r="H17" s="4">
        <v>92800</v>
      </c>
      <c r="I17" s="5">
        <v>4.3</v>
      </c>
      <c r="J17" s="5">
        <v>86.2</v>
      </c>
      <c r="K17" s="3">
        <v>23</v>
      </c>
      <c r="L17" s="2" t="s">
        <v>43</v>
      </c>
      <c r="M17" s="2" t="s">
        <v>33</v>
      </c>
      <c r="N17" s="2" t="s">
        <v>22</v>
      </c>
    </row>
    <row r="18" spans="1:14" ht="15" customHeight="1" x14ac:dyDescent="0.3">
      <c r="A18" s="6" t="s">
        <v>77</v>
      </c>
      <c r="B18" s="7" t="s">
        <v>78</v>
      </c>
      <c r="C18" s="7" t="s">
        <v>36</v>
      </c>
      <c r="D18" s="6" t="s">
        <v>26</v>
      </c>
      <c r="E18" s="6">
        <v>35</v>
      </c>
      <c r="F18" s="6" t="s">
        <v>79</v>
      </c>
      <c r="G18" s="6">
        <v>5</v>
      </c>
      <c r="H18" s="8">
        <v>72500</v>
      </c>
      <c r="I18" s="9">
        <v>4.3</v>
      </c>
      <c r="J18" s="9">
        <v>87.1</v>
      </c>
      <c r="K18" s="7">
        <v>77</v>
      </c>
      <c r="L18" s="6" t="s">
        <v>43</v>
      </c>
      <c r="M18" s="6" t="s">
        <v>38</v>
      </c>
      <c r="N18" s="6" t="s">
        <v>22</v>
      </c>
    </row>
    <row r="19" spans="1:14" ht="15" customHeight="1" x14ac:dyDescent="0.3">
      <c r="A19" s="2" t="s">
        <v>80</v>
      </c>
      <c r="B19" s="3" t="s">
        <v>81</v>
      </c>
      <c r="C19" s="3" t="s">
        <v>41</v>
      </c>
      <c r="D19" s="2" t="s">
        <v>18</v>
      </c>
      <c r="E19" s="2">
        <v>30</v>
      </c>
      <c r="F19" s="2" t="s">
        <v>82</v>
      </c>
      <c r="G19" s="2">
        <v>12</v>
      </c>
      <c r="H19" s="4">
        <v>70700</v>
      </c>
      <c r="I19" s="5">
        <v>5</v>
      </c>
      <c r="J19" s="5">
        <v>94.6</v>
      </c>
      <c r="K19" s="3">
        <v>40</v>
      </c>
      <c r="L19" s="2" t="s">
        <v>43</v>
      </c>
      <c r="M19" s="2" t="s">
        <v>38</v>
      </c>
      <c r="N19" s="2" t="s">
        <v>22</v>
      </c>
    </row>
    <row r="20" spans="1:14" ht="15" customHeight="1" x14ac:dyDescent="0.3">
      <c r="A20" s="6" t="s">
        <v>83</v>
      </c>
      <c r="B20" s="7" t="s">
        <v>84</v>
      </c>
      <c r="C20" s="7" t="s">
        <v>46</v>
      </c>
      <c r="D20" s="6" t="s">
        <v>26</v>
      </c>
      <c r="E20" s="6">
        <v>28</v>
      </c>
      <c r="F20" s="6" t="s">
        <v>85</v>
      </c>
      <c r="G20" s="6">
        <v>16</v>
      </c>
      <c r="H20" s="8">
        <v>54500</v>
      </c>
      <c r="I20" s="9">
        <v>4.9000000000000004</v>
      </c>
      <c r="J20" s="9">
        <v>86.9</v>
      </c>
      <c r="K20" s="7">
        <v>26</v>
      </c>
      <c r="L20" s="6" t="s">
        <v>43</v>
      </c>
      <c r="M20" s="6" t="s">
        <v>51</v>
      </c>
      <c r="N20" s="6" t="s">
        <v>22</v>
      </c>
    </row>
    <row r="21" spans="1:14" ht="15" customHeight="1" x14ac:dyDescent="0.3">
      <c r="A21" s="2" t="s">
        <v>86</v>
      </c>
      <c r="B21" s="3" t="s">
        <v>87</v>
      </c>
      <c r="C21" s="3" t="s">
        <v>17</v>
      </c>
      <c r="D21" s="2" t="s">
        <v>18</v>
      </c>
      <c r="E21" s="2">
        <v>39</v>
      </c>
      <c r="F21" s="2" t="s">
        <v>88</v>
      </c>
      <c r="G21" s="2">
        <v>17</v>
      </c>
      <c r="H21" s="4">
        <v>73500</v>
      </c>
      <c r="I21" s="5">
        <v>3.8</v>
      </c>
      <c r="J21" s="5">
        <v>99</v>
      </c>
      <c r="K21" s="3">
        <v>79</v>
      </c>
      <c r="L21" s="2" t="s">
        <v>20</v>
      </c>
      <c r="M21" s="2" t="s">
        <v>33</v>
      </c>
      <c r="N21" s="2" t="s">
        <v>22</v>
      </c>
    </row>
    <row r="22" spans="1:14" ht="15" customHeight="1" x14ac:dyDescent="0.3">
      <c r="A22" s="6" t="s">
        <v>89</v>
      </c>
      <c r="B22" s="7" t="s">
        <v>90</v>
      </c>
      <c r="C22" s="7" t="s">
        <v>25</v>
      </c>
      <c r="D22" s="6" t="s">
        <v>26</v>
      </c>
      <c r="E22" s="6">
        <v>42</v>
      </c>
      <c r="F22" s="6" t="s">
        <v>91</v>
      </c>
      <c r="G22" s="6">
        <v>13</v>
      </c>
      <c r="H22" s="8">
        <v>79400</v>
      </c>
      <c r="I22" s="9">
        <v>3.3</v>
      </c>
      <c r="J22" s="9">
        <v>86.5</v>
      </c>
      <c r="K22" s="7">
        <v>25</v>
      </c>
      <c r="L22" s="6" t="s">
        <v>20</v>
      </c>
      <c r="M22" s="6" t="s">
        <v>51</v>
      </c>
      <c r="N22" s="6" t="s">
        <v>22</v>
      </c>
    </row>
    <row r="23" spans="1:14" ht="15" customHeight="1" x14ac:dyDescent="0.3">
      <c r="A23" s="2" t="s">
        <v>92</v>
      </c>
      <c r="B23" s="3" t="s">
        <v>93</v>
      </c>
      <c r="C23" s="3" t="s">
        <v>31</v>
      </c>
      <c r="D23" s="2" t="s">
        <v>18</v>
      </c>
      <c r="E23" s="2">
        <v>58</v>
      </c>
      <c r="F23" s="2" t="s">
        <v>94</v>
      </c>
      <c r="G23" s="2">
        <v>8</v>
      </c>
      <c r="H23" s="4">
        <v>98500</v>
      </c>
      <c r="I23" s="5">
        <v>2.7</v>
      </c>
      <c r="J23" s="5">
        <v>74</v>
      </c>
      <c r="K23" s="3">
        <v>17</v>
      </c>
      <c r="L23" s="2" t="s">
        <v>20</v>
      </c>
      <c r="M23" s="2" t="s">
        <v>51</v>
      </c>
      <c r="N23" s="2" t="s">
        <v>95</v>
      </c>
    </row>
    <row r="24" spans="1:14" ht="15" customHeight="1" x14ac:dyDescent="0.3">
      <c r="A24" s="6" t="s">
        <v>96</v>
      </c>
      <c r="B24" s="7" t="s">
        <v>97</v>
      </c>
      <c r="C24" s="7" t="s">
        <v>36</v>
      </c>
      <c r="D24" s="6" t="s">
        <v>26</v>
      </c>
      <c r="E24" s="6">
        <v>44</v>
      </c>
      <c r="F24" s="6" t="s">
        <v>98</v>
      </c>
      <c r="G24" s="6">
        <v>3</v>
      </c>
      <c r="H24" s="8">
        <v>81600</v>
      </c>
      <c r="I24" s="9">
        <v>2.7</v>
      </c>
      <c r="J24" s="9">
        <v>90.7</v>
      </c>
      <c r="K24" s="7">
        <v>37</v>
      </c>
      <c r="L24" s="6" t="s">
        <v>20</v>
      </c>
      <c r="M24" s="6" t="s">
        <v>28</v>
      </c>
      <c r="N24" s="6" t="s">
        <v>95</v>
      </c>
    </row>
    <row r="25" spans="1:14" ht="15" customHeight="1" x14ac:dyDescent="0.3">
      <c r="A25" s="2" t="s">
        <v>99</v>
      </c>
      <c r="B25" s="3" t="s">
        <v>100</v>
      </c>
      <c r="C25" s="3" t="s">
        <v>41</v>
      </c>
      <c r="D25" s="2" t="s">
        <v>18</v>
      </c>
      <c r="E25" s="2">
        <v>53</v>
      </c>
      <c r="F25" s="2" t="s">
        <v>101</v>
      </c>
      <c r="G25" s="2">
        <v>8</v>
      </c>
      <c r="H25" s="4">
        <v>67700</v>
      </c>
      <c r="I25" s="5">
        <v>3.4</v>
      </c>
      <c r="J25" s="5">
        <v>83.4</v>
      </c>
      <c r="K25" s="3">
        <v>22</v>
      </c>
      <c r="L25" s="2" t="s">
        <v>20</v>
      </c>
      <c r="M25" s="2" t="s">
        <v>38</v>
      </c>
      <c r="N25" s="2" t="s">
        <v>22</v>
      </c>
    </row>
    <row r="26" spans="1:14" ht="15" customHeight="1" x14ac:dyDescent="0.3">
      <c r="A26" s="6" t="s">
        <v>102</v>
      </c>
      <c r="B26" s="7" t="s">
        <v>103</v>
      </c>
      <c r="C26" s="7" t="s">
        <v>46</v>
      </c>
      <c r="D26" s="6" t="s">
        <v>26</v>
      </c>
      <c r="E26" s="6">
        <v>49</v>
      </c>
      <c r="F26" s="6" t="s">
        <v>104</v>
      </c>
      <c r="G26" s="6">
        <v>15</v>
      </c>
      <c r="H26" s="8">
        <v>53500</v>
      </c>
      <c r="I26" s="9">
        <v>4</v>
      </c>
      <c r="J26" s="9">
        <v>99.6</v>
      </c>
      <c r="K26" s="7">
        <v>22</v>
      </c>
      <c r="L26" s="6" t="s">
        <v>43</v>
      </c>
      <c r="M26" s="6" t="s">
        <v>38</v>
      </c>
      <c r="N26" s="6" t="s">
        <v>22</v>
      </c>
    </row>
    <row r="27" spans="1:14" ht="15" customHeight="1" x14ac:dyDescent="0.3">
      <c r="A27" s="2" t="s">
        <v>105</v>
      </c>
      <c r="B27" s="3" t="s">
        <v>106</v>
      </c>
      <c r="C27" s="3" t="s">
        <v>17</v>
      </c>
      <c r="D27" s="2" t="s">
        <v>18</v>
      </c>
      <c r="E27" s="2">
        <v>29</v>
      </c>
      <c r="F27" s="2" t="s">
        <v>107</v>
      </c>
      <c r="G27" s="2">
        <v>8</v>
      </c>
      <c r="H27" s="4">
        <v>51200</v>
      </c>
      <c r="I27" s="5">
        <v>2.6</v>
      </c>
      <c r="J27" s="5">
        <v>84.6</v>
      </c>
      <c r="K27" s="3">
        <v>64</v>
      </c>
      <c r="L27" s="2" t="s">
        <v>20</v>
      </c>
      <c r="M27" s="2" t="s">
        <v>51</v>
      </c>
      <c r="N27" s="2" t="s">
        <v>22</v>
      </c>
    </row>
    <row r="28" spans="1:14" ht="15" customHeight="1" x14ac:dyDescent="0.3">
      <c r="A28" s="6" t="s">
        <v>108</v>
      </c>
      <c r="B28" s="7" t="s">
        <v>109</v>
      </c>
      <c r="C28" s="7" t="s">
        <v>25</v>
      </c>
      <c r="D28" s="6" t="s">
        <v>26</v>
      </c>
      <c r="E28" s="6">
        <v>27</v>
      </c>
      <c r="F28" s="6" t="s">
        <v>110</v>
      </c>
      <c r="G28" s="6">
        <v>15</v>
      </c>
      <c r="H28" s="8">
        <v>91000</v>
      </c>
      <c r="I28" s="9">
        <v>2.2999999999999998</v>
      </c>
      <c r="J28" s="9">
        <v>90.3</v>
      </c>
      <c r="K28" s="7">
        <v>79</v>
      </c>
      <c r="L28" s="6" t="s">
        <v>20</v>
      </c>
      <c r="M28" s="6" t="s">
        <v>33</v>
      </c>
      <c r="N28" s="6" t="s">
        <v>95</v>
      </c>
    </row>
    <row r="29" spans="1:14" ht="15" customHeight="1" x14ac:dyDescent="0.3">
      <c r="A29" s="2" t="s">
        <v>111</v>
      </c>
      <c r="B29" s="3" t="s">
        <v>112</v>
      </c>
      <c r="C29" s="3" t="s">
        <v>31</v>
      </c>
      <c r="D29" s="2" t="s">
        <v>18</v>
      </c>
      <c r="E29" s="2">
        <v>38</v>
      </c>
      <c r="F29" s="2" t="s">
        <v>113</v>
      </c>
      <c r="G29" s="2">
        <v>6</v>
      </c>
      <c r="H29" s="4">
        <v>86600</v>
      </c>
      <c r="I29" s="5">
        <v>3.5</v>
      </c>
      <c r="J29" s="5">
        <v>78</v>
      </c>
      <c r="K29" s="3">
        <v>61</v>
      </c>
      <c r="L29" s="2" t="s">
        <v>20</v>
      </c>
      <c r="M29" s="2" t="s">
        <v>38</v>
      </c>
      <c r="N29" s="2" t="s">
        <v>22</v>
      </c>
    </row>
    <row r="30" spans="1:14" ht="15" customHeight="1" x14ac:dyDescent="0.3">
      <c r="A30" s="6" t="s">
        <v>114</v>
      </c>
      <c r="B30" s="7" t="s">
        <v>115</v>
      </c>
      <c r="C30" s="7" t="s">
        <v>36</v>
      </c>
      <c r="D30" s="6" t="s">
        <v>26</v>
      </c>
      <c r="E30" s="6">
        <v>39</v>
      </c>
      <c r="F30" s="6" t="s">
        <v>116</v>
      </c>
      <c r="G30" s="6">
        <v>15</v>
      </c>
      <c r="H30" s="8">
        <v>66600</v>
      </c>
      <c r="I30" s="9">
        <v>3.3</v>
      </c>
      <c r="J30" s="9">
        <v>98.8</v>
      </c>
      <c r="K30" s="7">
        <v>72</v>
      </c>
      <c r="L30" s="6" t="s">
        <v>20</v>
      </c>
      <c r="M30" s="6" t="s">
        <v>51</v>
      </c>
      <c r="N30" s="6" t="s">
        <v>22</v>
      </c>
    </row>
    <row r="31" spans="1:14" ht="15" customHeight="1" x14ac:dyDescent="0.3">
      <c r="A31" s="2" t="s">
        <v>117</v>
      </c>
      <c r="B31" s="3" t="s">
        <v>118</v>
      </c>
      <c r="C31" s="3" t="s">
        <v>41</v>
      </c>
      <c r="D31" s="2" t="s">
        <v>18</v>
      </c>
      <c r="E31" s="2">
        <v>57</v>
      </c>
      <c r="F31" s="2" t="s">
        <v>85</v>
      </c>
      <c r="G31" s="2">
        <v>2</v>
      </c>
      <c r="H31" s="4">
        <v>66500</v>
      </c>
      <c r="I31" s="5">
        <v>2.9</v>
      </c>
      <c r="J31" s="5">
        <v>73.400000000000006</v>
      </c>
      <c r="K31" s="3">
        <v>71</v>
      </c>
      <c r="L31" s="2" t="s">
        <v>20</v>
      </c>
      <c r="M31" s="2" t="s">
        <v>28</v>
      </c>
      <c r="N31" s="2" t="s">
        <v>22</v>
      </c>
    </row>
    <row r="32" spans="1:14" ht="15" customHeight="1" x14ac:dyDescent="0.3">
      <c r="A32" s="6" t="s">
        <v>119</v>
      </c>
      <c r="B32" s="7" t="s">
        <v>120</v>
      </c>
      <c r="C32" s="7" t="s">
        <v>46</v>
      </c>
      <c r="D32" s="6" t="s">
        <v>26</v>
      </c>
      <c r="E32" s="6">
        <v>26</v>
      </c>
      <c r="F32" s="6" t="s">
        <v>121</v>
      </c>
      <c r="G32" s="6">
        <v>17</v>
      </c>
      <c r="H32" s="8">
        <v>55200</v>
      </c>
      <c r="I32" s="9">
        <v>4.5999999999999996</v>
      </c>
      <c r="J32" s="9">
        <v>73.900000000000006</v>
      </c>
      <c r="K32" s="7">
        <v>18</v>
      </c>
      <c r="L32" s="6" t="s">
        <v>43</v>
      </c>
      <c r="M32" s="6" t="s">
        <v>21</v>
      </c>
      <c r="N32" s="6" t="s">
        <v>22</v>
      </c>
    </row>
    <row r="33" spans="1:14" ht="15" customHeight="1" x14ac:dyDescent="0.3">
      <c r="A33" s="2" t="s">
        <v>122</v>
      </c>
      <c r="B33" s="3" t="s">
        <v>123</v>
      </c>
      <c r="C33" s="3" t="s">
        <v>17</v>
      </c>
      <c r="D33" s="2" t="s">
        <v>18</v>
      </c>
      <c r="E33" s="2">
        <v>38</v>
      </c>
      <c r="F33" s="2" t="s">
        <v>50</v>
      </c>
      <c r="G33" s="2">
        <v>19</v>
      </c>
      <c r="H33" s="4">
        <v>64400</v>
      </c>
      <c r="I33" s="5">
        <v>2.1</v>
      </c>
      <c r="J33" s="5">
        <v>74.3</v>
      </c>
      <c r="K33" s="3">
        <v>76</v>
      </c>
      <c r="L33" s="2" t="s">
        <v>20</v>
      </c>
      <c r="M33" s="2" t="s">
        <v>64</v>
      </c>
      <c r="N33" s="2" t="s">
        <v>22</v>
      </c>
    </row>
    <row r="34" spans="1:14" ht="15" customHeight="1" x14ac:dyDescent="0.3">
      <c r="A34" s="6" t="s">
        <v>124</v>
      </c>
      <c r="B34" s="7" t="s">
        <v>125</v>
      </c>
      <c r="C34" s="7" t="s">
        <v>25</v>
      </c>
      <c r="D34" s="6" t="s">
        <v>26</v>
      </c>
      <c r="E34" s="6">
        <v>43</v>
      </c>
      <c r="F34" s="6" t="s">
        <v>126</v>
      </c>
      <c r="G34" s="6">
        <v>8</v>
      </c>
      <c r="H34" s="8">
        <v>72400</v>
      </c>
      <c r="I34" s="9">
        <v>3.2</v>
      </c>
      <c r="J34" s="9">
        <v>90.8</v>
      </c>
      <c r="K34" s="7">
        <v>48</v>
      </c>
      <c r="L34" s="6" t="s">
        <v>20</v>
      </c>
      <c r="M34" s="6" t="s">
        <v>127</v>
      </c>
      <c r="N34" s="6" t="s">
        <v>22</v>
      </c>
    </row>
    <row r="35" spans="1:14" ht="15" customHeight="1" x14ac:dyDescent="0.3">
      <c r="A35" s="2" t="s">
        <v>128</v>
      </c>
      <c r="B35" s="3" t="s">
        <v>129</v>
      </c>
      <c r="C35" s="3" t="s">
        <v>31</v>
      </c>
      <c r="D35" s="2" t="s">
        <v>18</v>
      </c>
      <c r="E35" s="2">
        <v>52</v>
      </c>
      <c r="F35" s="2" t="s">
        <v>130</v>
      </c>
      <c r="G35" s="2">
        <v>20</v>
      </c>
      <c r="H35" s="4">
        <v>96800</v>
      </c>
      <c r="I35" s="5">
        <v>5</v>
      </c>
      <c r="J35" s="5">
        <v>74.099999999999994</v>
      </c>
      <c r="K35" s="3">
        <v>37</v>
      </c>
      <c r="L35" s="2" t="s">
        <v>43</v>
      </c>
      <c r="M35" s="2" t="s">
        <v>28</v>
      </c>
      <c r="N35" s="2" t="s">
        <v>22</v>
      </c>
    </row>
    <row r="36" spans="1:14" ht="15" customHeight="1" x14ac:dyDescent="0.3">
      <c r="A36" s="6" t="s">
        <v>131</v>
      </c>
      <c r="B36" s="7" t="s">
        <v>132</v>
      </c>
      <c r="C36" s="7" t="s">
        <v>36</v>
      </c>
      <c r="D36" s="6" t="s">
        <v>26</v>
      </c>
      <c r="E36" s="6">
        <v>38</v>
      </c>
      <c r="F36" s="6" t="s">
        <v>76</v>
      </c>
      <c r="G36" s="6">
        <v>12</v>
      </c>
      <c r="H36" s="8">
        <v>66600</v>
      </c>
      <c r="I36" s="9">
        <v>2.5</v>
      </c>
      <c r="J36" s="9">
        <v>95.3</v>
      </c>
      <c r="K36" s="7">
        <v>48</v>
      </c>
      <c r="L36" s="6" t="s">
        <v>20</v>
      </c>
      <c r="M36" s="6" t="s">
        <v>28</v>
      </c>
      <c r="N36" s="6" t="s">
        <v>22</v>
      </c>
    </row>
    <row r="37" spans="1:14" ht="15" customHeight="1" x14ac:dyDescent="0.3">
      <c r="A37" s="2" t="s">
        <v>133</v>
      </c>
      <c r="B37" s="3" t="s">
        <v>134</v>
      </c>
      <c r="C37" s="3" t="s">
        <v>41</v>
      </c>
      <c r="D37" s="2" t="s">
        <v>18</v>
      </c>
      <c r="E37" s="2">
        <v>23</v>
      </c>
      <c r="F37" s="2" t="s">
        <v>135</v>
      </c>
      <c r="G37" s="2">
        <v>18</v>
      </c>
      <c r="H37" s="4">
        <v>51800</v>
      </c>
      <c r="I37" s="5">
        <v>4.8</v>
      </c>
      <c r="J37" s="5">
        <v>74.900000000000006</v>
      </c>
      <c r="K37" s="3">
        <v>27</v>
      </c>
      <c r="L37" s="2" t="s">
        <v>43</v>
      </c>
      <c r="M37" s="2" t="s">
        <v>64</v>
      </c>
      <c r="N37" s="2" t="s">
        <v>95</v>
      </c>
    </row>
    <row r="38" spans="1:14" ht="15" customHeight="1" x14ac:dyDescent="0.3">
      <c r="A38" s="6" t="s">
        <v>136</v>
      </c>
      <c r="B38" s="7" t="s">
        <v>137</v>
      </c>
      <c r="C38" s="7" t="s">
        <v>46</v>
      </c>
      <c r="D38" s="6" t="s">
        <v>26</v>
      </c>
      <c r="E38" s="6">
        <v>58</v>
      </c>
      <c r="F38" s="6" t="s">
        <v>138</v>
      </c>
      <c r="G38" s="6">
        <v>5</v>
      </c>
      <c r="H38" s="8">
        <v>67800</v>
      </c>
      <c r="I38" s="9">
        <v>2.8</v>
      </c>
      <c r="J38" s="9">
        <v>77.900000000000006</v>
      </c>
      <c r="K38" s="7">
        <v>53</v>
      </c>
      <c r="L38" s="6" t="s">
        <v>20</v>
      </c>
      <c r="M38" s="6" t="s">
        <v>51</v>
      </c>
      <c r="N38" s="6" t="s">
        <v>22</v>
      </c>
    </row>
    <row r="39" spans="1:14" ht="15" customHeight="1" x14ac:dyDescent="0.3">
      <c r="A39" s="2" t="s">
        <v>139</v>
      </c>
      <c r="B39" s="3" t="s">
        <v>140</v>
      </c>
      <c r="C39" s="3" t="s">
        <v>17</v>
      </c>
      <c r="D39" s="2" t="s">
        <v>18</v>
      </c>
      <c r="E39" s="2">
        <v>54</v>
      </c>
      <c r="F39" s="2" t="s">
        <v>141</v>
      </c>
      <c r="G39" s="2">
        <v>9</v>
      </c>
      <c r="H39" s="4">
        <v>74600</v>
      </c>
      <c r="I39" s="5">
        <v>4.7</v>
      </c>
      <c r="J39" s="5">
        <v>73.400000000000006</v>
      </c>
      <c r="K39" s="3">
        <v>64</v>
      </c>
      <c r="L39" s="2" t="s">
        <v>43</v>
      </c>
      <c r="M39" s="2" t="s">
        <v>33</v>
      </c>
      <c r="N39" s="2" t="s">
        <v>22</v>
      </c>
    </row>
    <row r="40" spans="1:14" ht="15" customHeight="1" x14ac:dyDescent="0.3">
      <c r="A40" s="6" t="s">
        <v>142</v>
      </c>
      <c r="B40" s="7" t="s">
        <v>143</v>
      </c>
      <c r="C40" s="7" t="s">
        <v>25</v>
      </c>
      <c r="D40" s="6" t="s">
        <v>26</v>
      </c>
      <c r="E40" s="6">
        <v>31</v>
      </c>
      <c r="F40" s="6" t="s">
        <v>144</v>
      </c>
      <c r="G40" s="6">
        <v>9</v>
      </c>
      <c r="H40" s="8">
        <v>65500</v>
      </c>
      <c r="I40" s="9">
        <v>4.2</v>
      </c>
      <c r="J40" s="9">
        <v>87.4</v>
      </c>
      <c r="K40" s="7">
        <v>64</v>
      </c>
      <c r="L40" s="6" t="s">
        <v>43</v>
      </c>
      <c r="M40" s="6" t="s">
        <v>28</v>
      </c>
      <c r="N40" s="6" t="s">
        <v>95</v>
      </c>
    </row>
    <row r="41" spans="1:14" ht="15" customHeight="1" x14ac:dyDescent="0.3">
      <c r="A41" s="2" t="s">
        <v>145</v>
      </c>
      <c r="B41" s="3" t="s">
        <v>146</v>
      </c>
      <c r="C41" s="3" t="s">
        <v>31</v>
      </c>
      <c r="D41" s="2" t="s">
        <v>18</v>
      </c>
      <c r="E41" s="2">
        <v>32</v>
      </c>
      <c r="F41" s="2" t="s">
        <v>147</v>
      </c>
      <c r="G41" s="2">
        <v>18</v>
      </c>
      <c r="H41" s="4">
        <v>62300</v>
      </c>
      <c r="I41" s="5">
        <v>4.5</v>
      </c>
      <c r="J41" s="5">
        <v>88.3</v>
      </c>
      <c r="K41" s="3">
        <v>28</v>
      </c>
      <c r="L41" s="2" t="s">
        <v>43</v>
      </c>
      <c r="M41" s="2" t="s">
        <v>127</v>
      </c>
      <c r="N41" s="2" t="s">
        <v>95</v>
      </c>
    </row>
    <row r="42" spans="1:14" ht="15" customHeight="1" x14ac:dyDescent="0.3">
      <c r="A42" s="6" t="s">
        <v>148</v>
      </c>
      <c r="B42" s="7" t="s">
        <v>149</v>
      </c>
      <c r="C42" s="7" t="s">
        <v>36</v>
      </c>
      <c r="D42" s="6" t="s">
        <v>26</v>
      </c>
      <c r="E42" s="6">
        <v>25</v>
      </c>
      <c r="F42" s="6" t="s">
        <v>150</v>
      </c>
      <c r="G42" s="6">
        <v>12</v>
      </c>
      <c r="H42" s="8">
        <v>61700</v>
      </c>
      <c r="I42" s="9">
        <v>4</v>
      </c>
      <c r="J42" s="9">
        <v>90.7</v>
      </c>
      <c r="K42" s="7">
        <v>55</v>
      </c>
      <c r="L42" s="6" t="s">
        <v>43</v>
      </c>
      <c r="M42" s="6" t="s">
        <v>33</v>
      </c>
      <c r="N42" s="6" t="s">
        <v>22</v>
      </c>
    </row>
    <row r="43" spans="1:14" ht="15" customHeight="1" x14ac:dyDescent="0.3">
      <c r="A43" s="2" t="s">
        <v>151</v>
      </c>
      <c r="B43" s="3" t="s">
        <v>152</v>
      </c>
      <c r="C43" s="3" t="s">
        <v>41</v>
      </c>
      <c r="D43" s="2" t="s">
        <v>18</v>
      </c>
      <c r="E43" s="2">
        <v>32</v>
      </c>
      <c r="F43" s="2" t="s">
        <v>153</v>
      </c>
      <c r="G43" s="2">
        <v>8</v>
      </c>
      <c r="H43" s="4">
        <v>70300</v>
      </c>
      <c r="I43" s="5">
        <v>2.5</v>
      </c>
      <c r="J43" s="5">
        <v>94.4</v>
      </c>
      <c r="K43" s="3">
        <v>32</v>
      </c>
      <c r="L43" s="2" t="s">
        <v>20</v>
      </c>
      <c r="M43" s="2" t="s">
        <v>127</v>
      </c>
      <c r="N43" s="2" t="s">
        <v>95</v>
      </c>
    </row>
    <row r="44" spans="1:14" ht="15" customHeight="1" x14ac:dyDescent="0.3">
      <c r="A44" s="6" t="s">
        <v>154</v>
      </c>
      <c r="B44" s="7" t="s">
        <v>155</v>
      </c>
      <c r="C44" s="7" t="s">
        <v>46</v>
      </c>
      <c r="D44" s="6" t="s">
        <v>26</v>
      </c>
      <c r="E44" s="6">
        <v>49</v>
      </c>
      <c r="F44" s="6" t="s">
        <v>156</v>
      </c>
      <c r="G44" s="6">
        <v>8</v>
      </c>
      <c r="H44" s="8">
        <v>67400</v>
      </c>
      <c r="I44" s="9">
        <v>2.5</v>
      </c>
      <c r="J44" s="9">
        <v>91.6</v>
      </c>
      <c r="K44" s="7">
        <v>58</v>
      </c>
      <c r="L44" s="6" t="s">
        <v>20</v>
      </c>
      <c r="M44" s="6" t="s">
        <v>33</v>
      </c>
      <c r="N44" s="6" t="s">
        <v>95</v>
      </c>
    </row>
    <row r="45" spans="1:14" ht="15" customHeight="1" x14ac:dyDescent="0.3">
      <c r="A45" s="2" t="s">
        <v>157</v>
      </c>
      <c r="B45" s="3" t="s">
        <v>158</v>
      </c>
      <c r="C45" s="3" t="s">
        <v>17</v>
      </c>
      <c r="D45" s="2" t="s">
        <v>18</v>
      </c>
      <c r="E45" s="2">
        <v>35</v>
      </c>
      <c r="F45" s="2" t="s">
        <v>159</v>
      </c>
      <c r="G45" s="2">
        <v>15</v>
      </c>
      <c r="H45" s="4">
        <v>56400</v>
      </c>
      <c r="I45" s="5">
        <v>2.9</v>
      </c>
      <c r="J45" s="5">
        <v>94.3</v>
      </c>
      <c r="K45" s="3">
        <v>39</v>
      </c>
      <c r="L45" s="2" t="s">
        <v>20</v>
      </c>
      <c r="M45" s="2" t="s">
        <v>51</v>
      </c>
      <c r="N45" s="2" t="s">
        <v>95</v>
      </c>
    </row>
    <row r="46" spans="1:14" ht="15" customHeight="1" x14ac:dyDescent="0.3">
      <c r="A46" s="6" t="s">
        <v>160</v>
      </c>
      <c r="B46" s="7" t="s">
        <v>161</v>
      </c>
      <c r="C46" s="7" t="s">
        <v>25</v>
      </c>
      <c r="D46" s="6" t="s">
        <v>26</v>
      </c>
      <c r="E46" s="6">
        <v>44</v>
      </c>
      <c r="F46" s="6" t="s">
        <v>162</v>
      </c>
      <c r="G46" s="6">
        <v>9</v>
      </c>
      <c r="H46" s="8">
        <v>59500</v>
      </c>
      <c r="I46" s="9">
        <v>4.9000000000000004</v>
      </c>
      <c r="J46" s="9">
        <v>79.8</v>
      </c>
      <c r="K46" s="7">
        <v>75</v>
      </c>
      <c r="L46" s="6" t="s">
        <v>43</v>
      </c>
      <c r="M46" s="6" t="s">
        <v>127</v>
      </c>
      <c r="N46" s="6" t="s">
        <v>22</v>
      </c>
    </row>
    <row r="47" spans="1:14" ht="15" customHeight="1" x14ac:dyDescent="0.3">
      <c r="A47" s="2" t="s">
        <v>163</v>
      </c>
      <c r="B47" s="3" t="s">
        <v>164</v>
      </c>
      <c r="C47" s="3" t="s">
        <v>31</v>
      </c>
      <c r="D47" s="2" t="s">
        <v>18</v>
      </c>
      <c r="E47" s="2">
        <v>24</v>
      </c>
      <c r="F47" s="2" t="s">
        <v>165</v>
      </c>
      <c r="G47" s="2">
        <v>4</v>
      </c>
      <c r="H47" s="4">
        <v>77100</v>
      </c>
      <c r="I47" s="5">
        <v>2.5</v>
      </c>
      <c r="J47" s="5">
        <v>99</v>
      </c>
      <c r="K47" s="3">
        <v>43</v>
      </c>
      <c r="L47" s="2" t="s">
        <v>20</v>
      </c>
      <c r="M47" s="2" t="s">
        <v>38</v>
      </c>
      <c r="N47" s="2" t="s">
        <v>95</v>
      </c>
    </row>
    <row r="48" spans="1:14" ht="15" customHeight="1" x14ac:dyDescent="0.3">
      <c r="A48" s="6" t="s">
        <v>166</v>
      </c>
      <c r="B48" s="7" t="s">
        <v>167</v>
      </c>
      <c r="C48" s="7" t="s">
        <v>36</v>
      </c>
      <c r="D48" s="6" t="s">
        <v>26</v>
      </c>
      <c r="E48" s="6">
        <v>43</v>
      </c>
      <c r="F48" s="6" t="s">
        <v>168</v>
      </c>
      <c r="G48" s="6">
        <v>14</v>
      </c>
      <c r="H48" s="8">
        <v>81500</v>
      </c>
      <c r="I48" s="9">
        <v>2.2999999999999998</v>
      </c>
      <c r="J48" s="9">
        <v>97.2</v>
      </c>
      <c r="K48" s="7">
        <v>34</v>
      </c>
      <c r="L48" s="6" t="s">
        <v>20</v>
      </c>
      <c r="M48" s="6" t="s">
        <v>64</v>
      </c>
      <c r="N48" s="6" t="s">
        <v>95</v>
      </c>
    </row>
    <row r="49" spans="1:14" ht="15" customHeight="1" x14ac:dyDescent="0.3">
      <c r="A49" s="2" t="s">
        <v>169</v>
      </c>
      <c r="B49" s="3" t="s">
        <v>170</v>
      </c>
      <c r="C49" s="3" t="s">
        <v>41</v>
      </c>
      <c r="D49" s="2" t="s">
        <v>18</v>
      </c>
      <c r="E49" s="2">
        <v>56</v>
      </c>
      <c r="F49" s="2" t="s">
        <v>171</v>
      </c>
      <c r="G49" s="2">
        <v>18</v>
      </c>
      <c r="H49" s="4">
        <v>64500</v>
      </c>
      <c r="I49" s="5">
        <v>4.2</v>
      </c>
      <c r="J49" s="5">
        <v>92.8</v>
      </c>
      <c r="K49" s="3">
        <v>35</v>
      </c>
      <c r="L49" s="2" t="s">
        <v>43</v>
      </c>
      <c r="M49" s="2" t="s">
        <v>64</v>
      </c>
      <c r="N49" s="2" t="s">
        <v>22</v>
      </c>
    </row>
    <row r="50" spans="1:14" ht="15" customHeight="1" x14ac:dyDescent="0.3">
      <c r="A50" s="6" t="s">
        <v>172</v>
      </c>
      <c r="B50" s="7" t="s">
        <v>173</v>
      </c>
      <c r="C50" s="7" t="s">
        <v>46</v>
      </c>
      <c r="D50" s="6" t="s">
        <v>26</v>
      </c>
      <c r="E50" s="6">
        <v>43</v>
      </c>
      <c r="F50" s="6" t="s">
        <v>174</v>
      </c>
      <c r="G50" s="6">
        <v>4</v>
      </c>
      <c r="H50" s="8">
        <v>69600</v>
      </c>
      <c r="I50" s="9">
        <v>3.5</v>
      </c>
      <c r="J50" s="9">
        <v>90.7</v>
      </c>
      <c r="K50" s="7">
        <v>51</v>
      </c>
      <c r="L50" s="6" t="s">
        <v>20</v>
      </c>
      <c r="M50" s="6" t="s">
        <v>127</v>
      </c>
      <c r="N50" s="6" t="s">
        <v>22</v>
      </c>
    </row>
    <row r="51" spans="1:14" ht="15" customHeight="1" x14ac:dyDescent="0.3">
      <c r="A51" s="2" t="s">
        <v>175</v>
      </c>
      <c r="B51" s="3" t="s">
        <v>176</v>
      </c>
      <c r="C51" s="3" t="s">
        <v>17</v>
      </c>
      <c r="D51" s="2" t="s">
        <v>18</v>
      </c>
      <c r="E51" s="2">
        <v>35</v>
      </c>
      <c r="F51" s="2" t="s">
        <v>177</v>
      </c>
      <c r="G51" s="2">
        <v>14</v>
      </c>
      <c r="H51" s="4">
        <v>66700</v>
      </c>
      <c r="I51" s="5">
        <v>4.8</v>
      </c>
      <c r="J51" s="5">
        <v>91</v>
      </c>
      <c r="K51" s="3">
        <v>32</v>
      </c>
      <c r="L51" s="2" t="s">
        <v>43</v>
      </c>
      <c r="M51" s="2" t="s">
        <v>28</v>
      </c>
      <c r="N51" s="2" t="s">
        <v>22</v>
      </c>
    </row>
    <row r="52" spans="1:14" ht="15" customHeight="1" x14ac:dyDescent="0.3">
      <c r="A52" s="6" t="s">
        <v>178</v>
      </c>
      <c r="B52" s="7" t="s">
        <v>179</v>
      </c>
      <c r="C52" s="7" t="s">
        <v>25</v>
      </c>
      <c r="D52" s="6" t="s">
        <v>26</v>
      </c>
      <c r="E52" s="6">
        <v>23</v>
      </c>
      <c r="F52" s="6" t="s">
        <v>180</v>
      </c>
      <c r="G52" s="6">
        <v>10</v>
      </c>
      <c r="H52" s="8">
        <v>73800</v>
      </c>
      <c r="I52" s="9">
        <v>2.6</v>
      </c>
      <c r="J52" s="9">
        <v>94</v>
      </c>
      <c r="K52" s="7">
        <v>51</v>
      </c>
      <c r="L52" s="6" t="s">
        <v>20</v>
      </c>
      <c r="M52" s="6" t="s">
        <v>127</v>
      </c>
      <c r="N52" s="6" t="s">
        <v>22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tabSelected="1" topLeftCell="B1" zoomScale="87" zoomScaleNormal="100" workbookViewId="0">
      <selection activeCell="I5" sqref="I5:I7"/>
    </sheetView>
  </sheetViews>
  <sheetFormatPr defaultColWidth="8.6640625" defaultRowHeight="14.4" x14ac:dyDescent="0.3"/>
  <cols>
    <col min="1" max="1" width="14" customWidth="1"/>
    <col min="2" max="2" width="16" customWidth="1"/>
    <col min="3" max="3" width="18" customWidth="1"/>
    <col min="4" max="4" width="22" customWidth="1"/>
    <col min="5" max="5" width="20" customWidth="1"/>
    <col min="6" max="7" width="18" customWidth="1"/>
    <col min="8" max="8" width="1.6640625" customWidth="1"/>
    <col min="9" max="9" width="108" bestFit="1" customWidth="1"/>
  </cols>
  <sheetData>
    <row r="1" spans="1:9" ht="27.75" customHeight="1" x14ac:dyDescent="0.3">
      <c r="A1" s="24" t="s">
        <v>181</v>
      </c>
      <c r="B1" s="24"/>
      <c r="C1" s="24"/>
      <c r="D1" s="24"/>
      <c r="E1" s="24"/>
      <c r="F1" s="24"/>
      <c r="G1" s="24"/>
    </row>
    <row r="2" spans="1:9" ht="15" customHeight="1" x14ac:dyDescent="0.3">
      <c r="A2" s="23" t="s">
        <v>182</v>
      </c>
      <c r="B2" s="23"/>
      <c r="C2" s="23"/>
      <c r="D2" s="23"/>
      <c r="E2" s="23"/>
      <c r="F2" s="23"/>
      <c r="G2" s="23"/>
    </row>
    <row r="3" spans="1:9" ht="39.75" customHeight="1" x14ac:dyDescent="0.3">
      <c r="A3" s="1" t="s">
        <v>3</v>
      </c>
      <c r="B3" s="1" t="s">
        <v>183</v>
      </c>
      <c r="C3" s="1" t="s">
        <v>184</v>
      </c>
      <c r="D3" s="1" t="s">
        <v>185</v>
      </c>
      <c r="E3" s="1" t="s">
        <v>206</v>
      </c>
      <c r="F3" s="1" t="s">
        <v>186</v>
      </c>
      <c r="G3" s="1" t="s">
        <v>187</v>
      </c>
    </row>
    <row r="4" spans="1:9" ht="15" customHeight="1" thickBot="1" x14ac:dyDescent="0.35">
      <c r="A4" s="10" t="s">
        <v>17</v>
      </c>
      <c r="B4" s="12">
        <f>IFERROR(AVERAGEIF(Employee_Data!C3:C52,'Day5_AVERAGEIF-S'!A4,Employee_Data!H3:H52),0)</f>
        <v>64211.111111111109</v>
      </c>
      <c r="C4" s="13">
        <f>IFERROR(AVERAGEIF(Employee_Data!C3:C52,'Day5_AVERAGEIF-S'!A4,Employee_Data!I3:I52),0)</f>
        <v>3.1888888888888887</v>
      </c>
      <c r="D4" s="14">
        <f>IFERROR(AVERAGEIFS(Employee_Data!J3:J52,Employee_Data!C3:C52,'Day5_AVERAGEIF-S'!A4,Employee_Data!N3:N52,"Active"),0)</f>
        <v>84.125</v>
      </c>
      <c r="E4" s="15">
        <f>IFERROR(AVERAGEIFS(Employee_Data!K3:K52,Employee_Data!C3:C52,'Day5_AVERAGEIF-S'!A4,Employee_Data!N3:N52,"Active"),0)</f>
        <v>57.875</v>
      </c>
      <c r="F4" s="12">
        <f>IFERROR(AVERAGEIFS(Employee_Data!H3:H52,Employee_Data!C3:C52,'Day5_AVERAGEIF-S'!A4,Employee_Data!D3:D52,"Male"),0)</f>
        <v>64211.111111111109</v>
      </c>
      <c r="G4" s="12">
        <f>IFERROR(AVERAGEIFS(Employee_Data!H3:H52,Employee_Data!C3:C52,'Day5_AVERAGEIF-S'!A4,Employee_Data!D3:D52,"Female"),0)</f>
        <v>0</v>
      </c>
    </row>
    <row r="5" spans="1:9" ht="15" customHeight="1" thickBot="1" x14ac:dyDescent="0.35">
      <c r="A5" s="11" t="s">
        <v>25</v>
      </c>
      <c r="B5" s="12">
        <f>IFERROR(AVERAGEIF(Employee_Data!C4:C53,'Day5_AVERAGEIF-S'!A5,Employee_Data!H4:H53),0)</f>
        <v>75944.444444444438</v>
      </c>
      <c r="C5" s="13">
        <f>IFERROR(AVERAGEIF(Employee_Data!C4:C53,'Day5_AVERAGEIF-S'!A5,Employee_Data!I4:I53),0)</f>
        <v>3.4444444444444446</v>
      </c>
      <c r="D5" s="14">
        <f>IFERROR(AVERAGEIFS(Employee_Data!J4:J53,Employee_Data!C4:C53,'Day5_AVERAGEIF-S'!A5,Employee_Data!N4:N53,"Active"),0)</f>
        <v>87.157142857142858</v>
      </c>
      <c r="E5" s="15">
        <f>IFERROR(AVERAGEIFS(Employee_Data!K4:K53,Employee_Data!C4:C53,'Day5_AVERAGEIF-S'!A5,Employee_Data!N4:N53,"Active"),0)</f>
        <v>43.714285714285715</v>
      </c>
      <c r="F5" s="12">
        <f>IFERROR(AVERAGEIFS(Employee_Data!H4:H53,Employee_Data!C4:C53,'Day5_AVERAGEIF-S'!A5,Employee_Data!D4:D53,"Male"),0)</f>
        <v>0</v>
      </c>
      <c r="G5" s="12">
        <f>IFERROR(AVERAGEIFS(Employee_Data!H4:H53,Employee_Data!C4:C53,'Day5_AVERAGEIF-S'!A5,Employee_Data!D4:D53,"Female"),0)</f>
        <v>75944.444444444438</v>
      </c>
      <c r="I5" s="18" t="s">
        <v>190</v>
      </c>
    </row>
    <row r="6" spans="1:9" ht="15" customHeight="1" x14ac:dyDescent="0.3">
      <c r="A6" s="10" t="s">
        <v>31</v>
      </c>
      <c r="B6" s="12">
        <f>IFERROR(AVERAGEIF(Employee_Data!C5:C54,'Day5_AVERAGEIF-S'!A6,Employee_Data!H5:H54),0)</f>
        <v>86662.5</v>
      </c>
      <c r="C6" s="13">
        <f>IFERROR(AVERAGEIF(Employee_Data!C5:C54,'Day5_AVERAGEIF-S'!A6,Employee_Data!I5:I54),0)</f>
        <v>3.6</v>
      </c>
      <c r="D6" s="14">
        <f>IFERROR(AVERAGEIFS(Employee_Data!J5:J54,Employee_Data!C5:C54,'Day5_AVERAGEIF-S'!A6,Employee_Data!N5:N54,"Active"),0)</f>
        <v>82.320000000000007</v>
      </c>
      <c r="E6" s="15">
        <f>IFERROR(AVERAGEIFS(Employee_Data!K5:K54,Employee_Data!C5:C54,'Day5_AVERAGEIF-S'!A6,Employee_Data!N5:N54,"Active"),0)</f>
        <v>29.6</v>
      </c>
      <c r="F6" s="12">
        <f>IFERROR(AVERAGEIFS(Employee_Data!H5:H54,Employee_Data!C5:C54,'Day5_AVERAGEIF-S'!A6,Employee_Data!D5:D54,"Male"),0)</f>
        <v>86662.5</v>
      </c>
      <c r="G6" s="12">
        <f>IFERROR(AVERAGEIFS(Employee_Data!H5:H54,Employee_Data!C5:C54,'Day5_AVERAGEIF-S'!A6,Employee_Data!D5:D54,"Female"),0)</f>
        <v>0</v>
      </c>
      <c r="I6" s="20" t="s">
        <v>204</v>
      </c>
    </row>
    <row r="7" spans="1:9" ht="15" customHeight="1" thickBot="1" x14ac:dyDescent="0.35">
      <c r="A7" s="11" t="s">
        <v>36</v>
      </c>
      <c r="B7" s="12">
        <f>IFERROR(AVERAGEIF(Employee_Data!C6:C55,'Day5_AVERAGEIF-S'!A7,Employee_Data!H6:H55),0)</f>
        <v>68800</v>
      </c>
      <c r="C7" s="13">
        <f>IFERROR(AVERAGEIF(Employee_Data!C6:C55,'Day5_AVERAGEIF-S'!A7,Employee_Data!I6:I55),0)</f>
        <v>3.3000000000000003</v>
      </c>
      <c r="D7" s="14">
        <f>IFERROR(AVERAGEIFS(Employee_Data!J6:J55,Employee_Data!C6:C55,'Day5_AVERAGEIF-S'!A7,Employee_Data!N6:N55,"Active"),0)</f>
        <v>92.2</v>
      </c>
      <c r="E7" s="15">
        <f>IFERROR(AVERAGEIFS(Employee_Data!K6:K55,Employee_Data!C6:C55,'Day5_AVERAGEIF-S'!A7,Employee_Data!N6:N55,"Active"),0)</f>
        <v>54.166666666666664</v>
      </c>
      <c r="F7" s="12">
        <f>IFERROR(AVERAGEIFS(Employee_Data!H6:H55,Employee_Data!C6:C55,'Day5_AVERAGEIF-S'!A7,Employee_Data!D6:D55,"Male"),0)</f>
        <v>0</v>
      </c>
      <c r="G7" s="12">
        <f>IFERROR(AVERAGEIFS(Employee_Data!H6:H55,Employee_Data!C6:C55,'Day5_AVERAGEIF-S'!A7,Employee_Data!D6:D55,"Female"),0)</f>
        <v>68800</v>
      </c>
      <c r="I7" s="21" t="s">
        <v>205</v>
      </c>
    </row>
    <row r="8" spans="1:9" ht="15" customHeight="1" thickBot="1" x14ac:dyDescent="0.35">
      <c r="A8" s="10" t="s">
        <v>41</v>
      </c>
      <c r="B8" s="12">
        <f>IFERROR(AVERAGEIF(Employee_Data!C7:C56,'Day5_AVERAGEIF-S'!A8,Employee_Data!H7:H56),0)</f>
        <v>61587.5</v>
      </c>
      <c r="C8" s="13">
        <f>IFERROR(AVERAGEIF(Employee_Data!C7:C56,'Day5_AVERAGEIF-S'!A8,Employee_Data!I7:I56),0)</f>
        <v>3.7</v>
      </c>
      <c r="D8" s="14">
        <f>IFERROR(AVERAGEIFS(Employee_Data!J7:J56,Employee_Data!C7:C56,'Day5_AVERAGEIF-S'!A8,Employee_Data!N7:N56,"Active"),0)</f>
        <v>88.249999999999986</v>
      </c>
      <c r="E8" s="15">
        <f>IFERROR(AVERAGEIFS(Employee_Data!K7:K56,Employee_Data!C7:C56,'Day5_AVERAGEIF-S'!A8,Employee_Data!N7:N56,"Active"),0)</f>
        <v>54</v>
      </c>
      <c r="F8" s="12">
        <f>IFERROR(AVERAGEIFS(Employee_Data!H7:H56,Employee_Data!C7:C56,'Day5_AVERAGEIF-S'!A8,Employee_Data!D7:D56,"Male"),0)</f>
        <v>61587.5</v>
      </c>
      <c r="G8" s="12">
        <f>IFERROR(AVERAGEIFS(Employee_Data!H7:H56,Employee_Data!C7:C56,'Day5_AVERAGEIF-S'!A8,Employee_Data!D7:D56,"Female"),0)</f>
        <v>0</v>
      </c>
    </row>
    <row r="9" spans="1:9" ht="15" customHeight="1" thickBot="1" x14ac:dyDescent="0.35">
      <c r="A9" s="11" t="s">
        <v>46</v>
      </c>
      <c r="B9" s="12">
        <f>IFERROR(AVERAGEIF(Employee_Data!C8:C57,'Day5_AVERAGEIF-S'!A9,Employee_Data!H8:H57),0)</f>
        <v>63250</v>
      </c>
      <c r="C9" s="13">
        <f>IFERROR(AVERAGEIF(Employee_Data!C8:C57,'Day5_AVERAGEIF-S'!A9,Employee_Data!I8:I57),0)</f>
        <v>3.8750000000000004</v>
      </c>
      <c r="D9" s="14">
        <f>IFERROR(AVERAGEIFS(Employee_Data!J8:J57,Employee_Data!C8:C57,'Day5_AVERAGEIF-S'!A9,Employee_Data!N8:N57,"Active"),0)</f>
        <v>85.228571428571428</v>
      </c>
      <c r="E9" s="15">
        <f>IFERROR(AVERAGEIFS(Employee_Data!K8:K57,Employee_Data!C8:C57,'Day5_AVERAGEIF-S'!A9,Employee_Data!N8:N57,"Active"),0)</f>
        <v>36.857142857142854</v>
      </c>
      <c r="F9" s="12">
        <f>IFERROR(AVERAGEIFS(Employee_Data!H8:H57,Employee_Data!C8:C57,'Day5_AVERAGEIF-S'!A9,Employee_Data!D8:D57,"Male"),0)</f>
        <v>0</v>
      </c>
      <c r="G9" s="12">
        <f>IFERROR(AVERAGEIFS(Employee_Data!H8:H57,Employee_Data!C8:C57,'Day5_AVERAGEIF-S'!A9,Employee_Data!D8:D57,"Female"),0)</f>
        <v>63250</v>
      </c>
      <c r="I9" s="18" t="s">
        <v>188</v>
      </c>
    </row>
    <row r="10" spans="1:9" x14ac:dyDescent="0.3">
      <c r="I10" s="20" t="s">
        <v>202</v>
      </c>
    </row>
    <row r="11" spans="1:9" x14ac:dyDescent="0.3">
      <c r="I11" s="16" t="s">
        <v>201</v>
      </c>
    </row>
    <row r="12" spans="1:9" ht="15" thickBot="1" x14ac:dyDescent="0.35">
      <c r="I12" s="17" t="s">
        <v>203</v>
      </c>
    </row>
    <row r="14" spans="1:9" ht="15" thickBot="1" x14ac:dyDescent="0.35"/>
    <row r="15" spans="1:9" ht="15" thickBot="1" x14ac:dyDescent="0.35">
      <c r="I15" s="18" t="s">
        <v>189</v>
      </c>
    </row>
    <row r="16" spans="1:9" x14ac:dyDescent="0.3">
      <c r="I16" s="20" t="s">
        <v>203</v>
      </c>
    </row>
    <row r="17" spans="9:9" x14ac:dyDescent="0.3">
      <c r="I17" s="16" t="s">
        <v>191</v>
      </c>
    </row>
    <row r="18" spans="9:9" x14ac:dyDescent="0.3">
      <c r="I18" s="16" t="s">
        <v>192</v>
      </c>
    </row>
    <row r="19" spans="9:9" x14ac:dyDescent="0.3">
      <c r="I19" s="16" t="s">
        <v>194</v>
      </c>
    </row>
    <row r="20" spans="9:9" ht="15" thickBot="1" x14ac:dyDescent="0.35">
      <c r="I20" s="17" t="s">
        <v>193</v>
      </c>
    </row>
    <row r="22" spans="9:9" x14ac:dyDescent="0.3">
      <c r="I22" s="19" t="s">
        <v>195</v>
      </c>
    </row>
    <row r="23" spans="9:9" x14ac:dyDescent="0.3">
      <c r="I23" s="19" t="s">
        <v>196</v>
      </c>
    </row>
    <row r="24" spans="9:9" x14ac:dyDescent="0.3">
      <c r="I24" s="19" t="s">
        <v>197</v>
      </c>
    </row>
    <row r="25" spans="9:9" x14ac:dyDescent="0.3">
      <c r="I25" s="19" t="s">
        <v>198</v>
      </c>
    </row>
    <row r="26" spans="9:9" x14ac:dyDescent="0.3">
      <c r="I26" s="19" t="s">
        <v>199</v>
      </c>
    </row>
    <row r="27" spans="9:9" x14ac:dyDescent="0.3">
      <c r="I27" s="19" t="s">
        <v>200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Day5_AVERAGEIF-S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Rose Armstrong</cp:lastModifiedBy>
  <cp:revision>0</cp:revision>
  <dcterms:created xsi:type="dcterms:W3CDTF">2026-03-05T19:33:57Z</dcterms:created>
  <dcterms:modified xsi:type="dcterms:W3CDTF">2026-03-06T22:01:56Z</dcterms:modified>
  <dc:language>en-US</dc:language>
</cp:coreProperties>
</file>