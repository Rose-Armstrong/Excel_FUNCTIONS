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18" documentId="11_B6D3ABEA053CE07ECE309C44C71EAEB976D17530" xr6:coauthVersionLast="47" xr6:coauthVersionMax="47" xr10:uidLastSave="{76A2C4E1-0EE1-414F-B6FA-4D114A5BC606}"/>
  <bookViews>
    <workbookView xWindow="-108" yWindow="-108" windowWidth="23256" windowHeight="13176" tabRatio="500" xr2:uid="{00000000-000D-0000-FFFF-FFFF00000000}"/>
  </bookViews>
  <sheets>
    <sheet name="Employee_Data" sheetId="1" r:id="rId1"/>
    <sheet name="Day2_IF_Func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" i="2" l="1" a="1"/>
  <c r="H4" i="2" s="1"/>
  <c r="H5" i="2" a="1"/>
  <c r="H5" i="2"/>
  <c r="H6" i="2" a="1"/>
  <c r="H6" i="2"/>
  <c r="H7" i="2" a="1"/>
  <c r="H7" i="2"/>
  <c r="H8" i="2" a="1"/>
  <c r="H8" i="2"/>
  <c r="H9" i="2" a="1"/>
  <c r="H9" i="2"/>
  <c r="H10" i="2" a="1"/>
  <c r="H10" i="2" s="1"/>
  <c r="H11" i="2" a="1"/>
  <c r="H11" i="2" s="1"/>
  <c r="H12" i="2" a="1"/>
  <c r="H12" i="2"/>
  <c r="H13" i="2" a="1"/>
  <c r="H13" i="2"/>
  <c r="H14" i="2" a="1"/>
  <c r="H14" i="2"/>
  <c r="H15" i="2" a="1"/>
  <c r="H15" i="2"/>
  <c r="H16" i="2" a="1"/>
  <c r="H16" i="2" s="1"/>
  <c r="H17" i="2" a="1"/>
  <c r="H17" i="2"/>
  <c r="H18" i="2" a="1"/>
  <c r="H18" i="2"/>
  <c r="H19" i="2" a="1"/>
  <c r="H19" i="2"/>
  <c r="H20" i="2" a="1"/>
  <c r="H20" i="2"/>
  <c r="H21" i="2" a="1"/>
  <c r="H21" i="2"/>
  <c r="H22" i="2" a="1"/>
  <c r="H22" i="2" s="1"/>
  <c r="H23" i="2" a="1"/>
  <c r="H23" i="2"/>
  <c r="H24" i="2" a="1"/>
  <c r="H24" i="2"/>
  <c r="H25" i="2" a="1"/>
  <c r="H25" i="2"/>
  <c r="H26" i="2" a="1"/>
  <c r="H26" i="2"/>
  <c r="H27" i="2" a="1"/>
  <c r="H27" i="2"/>
  <c r="H28" i="2" a="1"/>
  <c r="H28" i="2" s="1"/>
  <c r="H29" i="2" a="1"/>
  <c r="H29" i="2"/>
  <c r="H30" i="2" a="1"/>
  <c r="H30" i="2"/>
  <c r="H31" i="2" a="1"/>
  <c r="H31" i="2"/>
  <c r="H32" i="2" a="1"/>
  <c r="H32" i="2"/>
  <c r="H33" i="2" a="1"/>
  <c r="H33" i="2"/>
  <c r="H34" i="2" a="1"/>
  <c r="H34" i="2" s="1"/>
  <c r="H35" i="2" a="1"/>
  <c r="H35" i="2"/>
  <c r="H36" i="2" a="1"/>
  <c r="H36" i="2"/>
  <c r="H37" i="2" a="1"/>
  <c r="H37" i="2"/>
  <c r="H38" i="2" a="1"/>
  <c r="H38" i="2"/>
  <c r="H39" i="2" a="1"/>
  <c r="H39" i="2"/>
  <c r="H40" i="2" a="1"/>
  <c r="H40" i="2" s="1"/>
  <c r="H41" i="2" a="1"/>
  <c r="H41" i="2"/>
  <c r="H42" i="2" a="1"/>
  <c r="H42" i="2"/>
  <c r="H43" i="2" a="1"/>
  <c r="H43" i="2"/>
  <c r="H44" i="2" a="1"/>
  <c r="H44" i="2"/>
  <c r="H45" i="2" a="1"/>
  <c r="H45" i="2"/>
  <c r="H46" i="2" a="1"/>
  <c r="H46" i="2" s="1"/>
  <c r="H47" i="2" a="1"/>
  <c r="H47" i="2"/>
  <c r="H48" i="2" a="1"/>
  <c r="H48" i="2"/>
  <c r="H49" i="2" a="1"/>
  <c r="H49" i="2"/>
  <c r="H50" i="2" a="1"/>
  <c r="H50" i="2"/>
  <c r="H51" i="2" a="1"/>
  <c r="H51" i="2"/>
  <c r="H52" i="2" a="1"/>
  <c r="H52" i="2" s="1"/>
  <c r="H3" i="2" a="1"/>
  <c r="H3" i="2" s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<sst xmlns="http://schemas.openxmlformats.org/spreadsheetml/2006/main" count="585" uniqueCount="196">
  <si>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</si>
  <si>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</si>
  <si>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</si>
  <si>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</si>
  <si>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</si>
  <si>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</si>
  <si>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</si>
  <si>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</si>
  <si>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</si>
  <si>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</si>
  <si>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</si>
  <si>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</si>
  <si>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</si>
  <si>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</si>
  <si>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</si>
  <si>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</si>
  <si>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</si>
  <si>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</si>
  <si>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</si>
  <si>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</si>
  <si>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</si>
  <si>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</si>
  <si>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</si>
  <si>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</si>
  <si>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</si>
  <si>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</si>
  <si>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</si>
  <si>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</si>
  <si>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</si>
  <si>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</si>
  <si>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</si>
  <si>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</si>
  <si>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</si>
  <si>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</si>
  <si>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</si>
  <si>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</si>
  <si>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</si>
  <si>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</si>
  <si>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</si>
  <si>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</si>
  <si>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</si>
  <si>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</si>
  <si>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</si>
  <si>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</si>
  <si>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</si>
  <si>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</si>
  <si>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</si>
  <si>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</si>
  <si>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</si>
  <si>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</si>
  <si>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</si>
  <si>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</si>
  <si>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</si>
  <si>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</si>
  <si>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</si>
  <si>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</si>
  <si>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</si>
  <si>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</si>
  <si>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</si>
  <si>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</si>
  <si>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</si>
  <si>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</si>
  <si>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</si>
  <si>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</si>
  <si>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</si>
  <si>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</si>
  <si>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</si>
  <si>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</si>
  <si>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</si>
  <si>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</si>
  <si>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</si>
  <si>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</si>
  <si>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</si>
  <si>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</si>
  <si>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</si>
  <si>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</si>
  <si>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</si>
  <si>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</si>
  <si>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</si>
  <si>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</si>
  <si>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</si>
  <si>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</si>
  <si>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</si>
  <si>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</si>
  <si>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</si>
  <si>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</si>
  <si>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</si>
  <si>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</si>
  <si>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</si>
  <si>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</si>
  <si>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</si>
  <si>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</si>
  <si>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</si>
  <si>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</si>
  <si>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</si>
  <si>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</si>
  <si>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</si>
  <si>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</si>
  <si>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</si>
  <si>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</si>
  <si>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</si>
  <si>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</si>
  <si>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</si>
  <si>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</si>
  <si>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</si>
  <si>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</si>
  <si>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</si>
  <si>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</si>
  <si>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</si>
  <si>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</si>
  <si>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</si>
  <si>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</si>
  <si>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</si>
  <si>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</si>
  <si>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</si>
  <si>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</si>
  <si>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</si>
  <si>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</si>
  <si>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</si>
  <si>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</si>
  <si>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</si>
  <si>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</si>
  <si>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</si>
  <si>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</si>
  <si>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</si>
  <si>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</si>
  <si>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</si>
  <si>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</si>
  <si>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</si>
  <si>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</si>
  <si>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</si>
  <si>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</si>
  <si>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</si>
  <si>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</si>
  <si>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</si>
  <si>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</si>
  <si>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</si>
  <si>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</si>
  <si>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</si>
  <si>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</si>
  <si>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</si>
  <si>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</si>
  <si>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</si>
  <si>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</si>
  <si>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</si>
  <si>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</si>
  <si>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</si>
  <si>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</si>
  <si>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</si>
  <si>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</si>
  <si>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</si>
  <si>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</si>
  <si>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</si>
  <si>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</si>
  <si>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</si>
  <si>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</si>
  <si>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</si>
  <si>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</si>
  <si>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</si>
  <si>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</si>
  <si>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</si>
  <si>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</si>
  <si>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</si>
  <si>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</si>
  <si>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</si>
  <si>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</si>
  <si>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</si>
  <si>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</si>
  <si>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</si>
  <si>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</si>
  <si>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</si>
  <si>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</si>
  <si>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</si>
  <si>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</si>
  <si>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</si>
  <si>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</si>
  <si>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</si>
  <si>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</si>
  <si>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</si>
  <si>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</si>
  <si>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</si>
  <si>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Performance_Band (IFS)</t>
  </si>
  <si>
    <t>Salary_Level (Nested IF)</t>
  </si>
  <si>
    <t>IF</t>
  </si>
  <si>
    <t>IFS</t>
  </si>
  <si>
    <t>IF(D3&gt;=90000,"High",IF(D3&gt;=65000,"Mid",IF(D3&gt;=45000,"Entry","Trainee")))</t>
  </si>
  <si>
    <t>IFS(E3&gt;=4.5, "Outstanding", E3&gt;=3.5, "Good", E3&gt;=2.5, "Average", TRUE, "Poor")</t>
  </si>
  <si>
    <t>IF(E3 &gt; 3,"Valued", "Under")</t>
  </si>
  <si>
    <t>value_if_false = "output to show when false";  eg: "Under"</t>
  </si>
  <si>
    <t>value_if_true = "output to show when true";  eg: "Valued"</t>
  </si>
  <si>
    <t>logical_test = conditions;  eg: E3&gt;3</t>
  </si>
  <si>
    <t xml:space="preserve">logical_test2 = condition 2;  eg: E3&gt;=3.5 </t>
  </si>
  <si>
    <t>logical_test1 = conditions;  eg: E3&gt;4.5</t>
  </si>
  <si>
    <t>value_if_true1 = "output to show when true";  eg: "Outstanding"</t>
  </si>
  <si>
    <t>Perfomace_Value (IF)</t>
  </si>
  <si>
    <t>IF, Nested IF, IFS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</si>
</sst>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b/>
      <sz val="13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EEF2FF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0" fillId="8" borderId="3" xfId="0" applyFill="1" applyBorder="1"/>
    <xf numFmtId="0" fontId="0" fillId="8" borderId="4" xfId="0" applyFill="1" applyBorder="1"/>
    <xf numFmtId="0" fontId="0" fillId="8" borderId="2" xfId="0" applyFill="1" applyBorder="1" applyAlignment="1">
      <alignment horizontal="center"/>
    </xf>
    <xf numFmtId="0" fontId="0" fillId="9" borderId="5" xfId="0" applyFill="1" applyBorder="1"/>
    <xf numFmtId="0" fontId="0" fillId="9" borderId="6" xfId="0" applyFill="1" applyBorder="1"/>
    <xf numFmtId="0" fontId="7" fillId="9" borderId="7" xfId="0" applyFont="1" applyFill="1" applyBorder="1"/>
    <xf numFmtId="0" fontId="1" fillId="2" borderId="0" xfId="0" applyFont="1" applyFill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zoomScaleNormal="100" workbookViewId="0">
      <pane ySplit="2" topLeftCell="A3" activePane="bottomLeft" state="frozen"/>
      <selection activeCell="H3" sqref="H3:H52"/>
      <selection pane="bottomLeft" activeCell="H3" sqref="H3:H52"/>
    </sheetView>
  </sheetViews>
  <sheetFormatPr defaultColWidth="8.6640625" defaultRowHeight="14.4" x14ac:dyDescent="0.3"/>
  <cols>
    <col min="1" max="1" width="10" customWidth="1"/>
    <col min="2" max="2" width="18" customWidth="1"/>
    <col min="3" max="4" width="12" customWidth="1"/>
    <col min="5" max="5" width="18" customWidth="1"/>
    <col min="6" max="6" width="11.77734375" customWidth="1"/>
    <col min="7" max="7" width="22" customWidth="1"/>
    <col min="8" max="8" width="19.6640625" customWidth="1"/>
    <col min="10" max="11" width="67.21875" bestFit="1" customWidth="1"/>
  </cols>
  <sheetData>
    <row r="1" spans="1:14" ht="27.75" customHeight="1" x14ac:dyDescent="0.3">
      <c r="A1" s="21" t="s">
        <v>195</v>
      </c>
      <c r="B1" s="21"/>
      <c r="C1" s="21"/>
      <c r="D1" s="21"/>
      <c r="E1" s="21"/>
      <c r="F1" s="21"/>
      <c r="G1" s="21"/>
      <c r="H1" s="21"/>
      <c r="I1" s="12"/>
      <c r="J1" s="12"/>
      <c r="K1" s="12"/>
      <c r="L1" s="12"/>
      <c r="M1" s="12"/>
      <c r="N1" s="12"/>
    </row>
    <row r="2" spans="1:14" ht="36" customHeight="1" x14ac:dyDescent="0.3">
      <c r="A2" s="1" t="s">
        <v>1</v>
      </c>
      <c r="B2" s="1" t="s">
        <v>2</v>
      </c>
      <c r="C2" s="1" t="s">
        <v>3</v>
      </c>
      <c r="D2" s="1" t="s">
        <v>8</v>
      </c>
      <c r="E2" s="1" t="s">
        <v>9</v>
      </c>
      <c r="F2" s="11" t="s">
        <v>194</v>
      </c>
      <c r="G2" s="1" t="s">
        <v>182</v>
      </c>
      <c r="H2" s="11" t="s">
        <v>181</v>
      </c>
    </row>
    <row r="3" spans="1:14" ht="15" customHeight="1" x14ac:dyDescent="0.3">
      <c r="A3" s="2" t="s">
        <v>15</v>
      </c>
      <c r="B3" s="3" t="s">
        <v>16</v>
      </c>
      <c r="C3" s="2" t="s">
        <v>17</v>
      </c>
      <c r="D3" s="4">
        <v>69200</v>
      </c>
      <c r="E3" s="5">
        <v>2.8</v>
      </c>
      <c r="F3" s="10" t="str">
        <f>IF(E3&gt;3,"Valued","Under")</f>
        <v>Under</v>
      </c>
      <c r="G3" s="10" t="str">
        <f>IF(D3&gt;=90000,"High",IF(D3&gt;=65000,"Mid",IF(D3&gt;=45000,"Entry","Trainee")))</f>
        <v>Mid</v>
      </c>
      <c r="H3" s="10" t="str" cm="1">
        <f t="array" ref="H3">_xlfn.IFS(E3&gt;=4.5,"Outstanding",E3&gt;=3.5,"Good",E3&gt;=2.5,"Average",TRUE,"Poor")</f>
        <v>Average</v>
      </c>
    </row>
    <row r="4" spans="1:14" ht="15" customHeight="1" x14ac:dyDescent="0.3">
      <c r="A4" s="6" t="s">
        <v>23</v>
      </c>
      <c r="B4" s="7" t="s">
        <v>24</v>
      </c>
      <c r="C4" s="6" t="s">
        <v>25</v>
      </c>
      <c r="D4" s="8">
        <v>56900</v>
      </c>
      <c r="E4" s="9">
        <v>2.2999999999999998</v>
      </c>
      <c r="F4" s="10" t="str">
        <f t="shared" ref="F4:F52" si="0">IF(E4&gt;3,"Valued","Under")</f>
        <v>Under</v>
      </c>
      <c r="G4" s="10" t="str">
        <f t="shared" ref="G4:G52" si="1">IF(D4&gt;=90000,"High",IF(D4&gt;=65000,"Mid",IF(D4&gt;=45000,"Entry","Trainee")))</f>
        <v>Entry</v>
      </c>
      <c r="H4" s="10" t="str" cm="1">
        <f t="array" ref="H4">_xlfn.IFS(E4&gt;=4.5,"Outstanding",E4&gt;=3.5,"Good",E4&gt;=2.5,"Average",TRUE,"Poor")</f>
        <v>Poor</v>
      </c>
    </row>
    <row r="5" spans="1:14" ht="15" customHeight="1" x14ac:dyDescent="0.3">
      <c r="A5" s="2" t="s">
        <v>29</v>
      </c>
      <c r="B5" s="3" t="s">
        <v>30</v>
      </c>
      <c r="C5" s="2" t="s">
        <v>31</v>
      </c>
      <c r="D5" s="4">
        <v>74400</v>
      </c>
      <c r="E5" s="5">
        <v>3.3</v>
      </c>
      <c r="F5" s="10" t="str">
        <f t="shared" si="0"/>
        <v>Valued</v>
      </c>
      <c r="G5" s="10" t="str">
        <f t="shared" si="1"/>
        <v>Mid</v>
      </c>
      <c r="H5" s="10" t="str" cm="1">
        <f t="array" ref="H5">_xlfn.IFS(E5&gt;=4.5,"Outstanding",E5&gt;=3.5,"Good",E5&gt;=2.5,"Average",TRUE,"Poor")</f>
        <v>Average</v>
      </c>
    </row>
    <row r="6" spans="1:14" ht="15" customHeight="1" x14ac:dyDescent="0.3">
      <c r="A6" s="6" t="s">
        <v>34</v>
      </c>
      <c r="B6" s="7" t="s">
        <v>35</v>
      </c>
      <c r="C6" s="6" t="s">
        <v>36</v>
      </c>
      <c r="D6" s="8">
        <v>58100</v>
      </c>
      <c r="E6" s="9">
        <v>2.6</v>
      </c>
      <c r="F6" s="10" t="str">
        <f t="shared" si="0"/>
        <v>Under</v>
      </c>
      <c r="G6" s="10" t="str">
        <f t="shared" si="1"/>
        <v>Entry</v>
      </c>
      <c r="H6" s="10" t="str" cm="1">
        <f t="array" ref="H6">_xlfn.IFS(E6&gt;=4.5,"Outstanding",E6&gt;=3.5,"Good",E6&gt;=2.5,"Average",TRUE,"Poor")</f>
        <v>Average</v>
      </c>
    </row>
    <row r="7" spans="1:14" ht="15" customHeight="1" thickBot="1" x14ac:dyDescent="0.35">
      <c r="A7" s="2" t="s">
        <v>39</v>
      </c>
      <c r="B7" s="3" t="s">
        <v>40</v>
      </c>
      <c r="C7" s="2" t="s">
        <v>41</v>
      </c>
      <c r="D7" s="4">
        <v>50600</v>
      </c>
      <c r="E7" s="5">
        <v>4.4000000000000004</v>
      </c>
      <c r="F7" s="10" t="str">
        <f t="shared" si="0"/>
        <v>Valued</v>
      </c>
      <c r="G7" s="10" t="str">
        <f t="shared" si="1"/>
        <v>Entry</v>
      </c>
      <c r="H7" s="10" t="str" cm="1">
        <f t="array" ref="H7">_xlfn.IFS(E7&gt;=4.5,"Outstanding",E7&gt;=3.5,"Good",E7&gt;=2.5,"Average",TRUE,"Poor")</f>
        <v>Good</v>
      </c>
    </row>
    <row r="8" spans="1:14" ht="15" customHeight="1" thickBot="1" x14ac:dyDescent="0.35">
      <c r="A8" s="6" t="s">
        <v>44</v>
      </c>
      <c r="B8" s="7" t="s">
        <v>45</v>
      </c>
      <c r="C8" s="6" t="s">
        <v>46</v>
      </c>
      <c r="D8" s="8">
        <v>73700</v>
      </c>
      <c r="E8" s="9">
        <v>3.7</v>
      </c>
      <c r="F8" s="10" t="str">
        <f t="shared" si="0"/>
        <v>Valued</v>
      </c>
      <c r="G8" s="10" t="str">
        <f t="shared" si="1"/>
        <v>Mid</v>
      </c>
      <c r="H8" s="10" t="str" cm="1">
        <f t="array" ref="H8">_xlfn.IFS(E8&gt;=4.5,"Outstanding",E8&gt;=3.5,"Good",E8&gt;=2.5,"Average",TRUE,"Poor")</f>
        <v>Good</v>
      </c>
      <c r="J8" s="16" t="s">
        <v>183</v>
      </c>
    </row>
    <row r="9" spans="1:14" ht="15" customHeight="1" x14ac:dyDescent="0.3">
      <c r="A9" s="2" t="s">
        <v>48</v>
      </c>
      <c r="B9" s="3" t="s">
        <v>49</v>
      </c>
      <c r="C9" s="2" t="s">
        <v>17</v>
      </c>
      <c r="D9" s="4">
        <v>57400</v>
      </c>
      <c r="E9" s="5">
        <v>2.8</v>
      </c>
      <c r="F9" s="10" t="str">
        <f t="shared" si="0"/>
        <v>Under</v>
      </c>
      <c r="G9" s="10" t="str">
        <f t="shared" si="1"/>
        <v>Entry</v>
      </c>
      <c r="H9" s="10" t="str" cm="1">
        <f t="array" ref="H9">_xlfn.IFS(E9&gt;=4.5,"Outstanding",E9&gt;=3.5,"Good",E9&gt;=2.5,"Average",TRUE,"Poor")</f>
        <v>Average</v>
      </c>
      <c r="J9" s="14" t="s">
        <v>190</v>
      </c>
    </row>
    <row r="10" spans="1:14" ht="15" customHeight="1" x14ac:dyDescent="0.3">
      <c r="A10" s="6" t="s">
        <v>52</v>
      </c>
      <c r="B10" s="7" t="s">
        <v>53</v>
      </c>
      <c r="C10" s="6" t="s">
        <v>25</v>
      </c>
      <c r="D10" s="8">
        <v>94900</v>
      </c>
      <c r="E10" s="9">
        <v>3.9</v>
      </c>
      <c r="F10" s="10" t="str">
        <f t="shared" si="0"/>
        <v>Valued</v>
      </c>
      <c r="G10" s="10" t="str">
        <f t="shared" si="1"/>
        <v>High</v>
      </c>
      <c r="H10" s="10" t="str" cm="1">
        <f t="array" ref="H10">_xlfn.IFS(E10&gt;=4.5,"Outstanding",E10&gt;=3.5,"Good",E10&gt;=2.5,"Average",TRUE,"Poor")</f>
        <v>Good</v>
      </c>
      <c r="J10" s="14" t="s">
        <v>189</v>
      </c>
    </row>
    <row r="11" spans="1:14" ht="15" customHeight="1" thickBot="1" x14ac:dyDescent="0.35">
      <c r="A11" s="2" t="s">
        <v>55</v>
      </c>
      <c r="B11" s="3" t="s">
        <v>56</v>
      </c>
      <c r="C11" s="2" t="s">
        <v>31</v>
      </c>
      <c r="D11" s="4">
        <v>104800</v>
      </c>
      <c r="E11" s="5">
        <v>3</v>
      </c>
      <c r="F11" s="10" t="str">
        <f t="shared" si="0"/>
        <v>Under</v>
      </c>
      <c r="G11" s="10" t="str">
        <f t="shared" si="1"/>
        <v>High</v>
      </c>
      <c r="H11" s="10" t="str" cm="1">
        <f t="array" ref="H11">_xlfn.IFS(E11&gt;=4.5,"Outstanding",E11&gt;=3.5,"Good",E11&gt;=2.5,"Average",TRUE,"Poor")</f>
        <v>Average</v>
      </c>
      <c r="J11" s="15" t="s">
        <v>188</v>
      </c>
    </row>
    <row r="12" spans="1:14" ht="15" customHeight="1" thickBot="1" x14ac:dyDescent="0.35">
      <c r="A12" s="6" t="s">
        <v>58</v>
      </c>
      <c r="B12" s="7" t="s">
        <v>59</v>
      </c>
      <c r="C12" s="6" t="s">
        <v>36</v>
      </c>
      <c r="D12" s="8">
        <v>61800</v>
      </c>
      <c r="E12" s="9">
        <v>4.7</v>
      </c>
      <c r="F12" s="10" t="str">
        <f t="shared" si="0"/>
        <v>Valued</v>
      </c>
      <c r="G12" s="10" t="str">
        <f t="shared" si="1"/>
        <v>Entry</v>
      </c>
      <c r="H12" s="10" t="str" cm="1">
        <f t="array" ref="H12">_xlfn.IFS(E12&gt;=4.5,"Outstanding",E12&gt;=3.5,"Good",E12&gt;=2.5,"Average",TRUE,"Poor")</f>
        <v>Outstanding</v>
      </c>
    </row>
    <row r="13" spans="1:14" ht="15" customHeight="1" thickBot="1" x14ac:dyDescent="0.35">
      <c r="A13" s="2" t="s">
        <v>61</v>
      </c>
      <c r="B13" s="3" t="s">
        <v>62</v>
      </c>
      <c r="C13" s="2" t="s">
        <v>41</v>
      </c>
      <c r="D13" s="4">
        <v>50600</v>
      </c>
      <c r="E13" s="5">
        <v>2.4</v>
      </c>
      <c r="F13" s="10" t="str">
        <f t="shared" si="0"/>
        <v>Under</v>
      </c>
      <c r="G13" s="10" t="str">
        <f t="shared" si="1"/>
        <v>Entry</v>
      </c>
      <c r="H13" s="10" t="str" cm="1">
        <f t="array" ref="H13">_xlfn.IFS(E13&gt;=4.5,"Outstanding",E13&gt;=3.5,"Good",E13&gt;=2.5,"Average",TRUE,"Poor")</f>
        <v>Poor</v>
      </c>
      <c r="J13" s="16" t="s">
        <v>184</v>
      </c>
    </row>
    <row r="14" spans="1:14" ht="15" customHeight="1" x14ac:dyDescent="0.3">
      <c r="A14" s="6" t="s">
        <v>65</v>
      </c>
      <c r="B14" s="7" t="s">
        <v>66</v>
      </c>
      <c r="C14" s="6" t="s">
        <v>46</v>
      </c>
      <c r="D14" s="8">
        <v>64300</v>
      </c>
      <c r="E14" s="9">
        <v>5</v>
      </c>
      <c r="F14" s="10" t="str">
        <f t="shared" si="0"/>
        <v>Valued</v>
      </c>
      <c r="G14" s="10" t="str">
        <f t="shared" si="1"/>
        <v>Entry</v>
      </c>
      <c r="H14" s="10" t="str" cm="1">
        <f t="array" ref="H14">_xlfn.IFS(E14&gt;=4.5,"Outstanding",E14&gt;=3.5,"Good",E14&gt;=2.5,"Average",TRUE,"Poor")</f>
        <v>Outstanding</v>
      </c>
      <c r="J14" s="14" t="s">
        <v>192</v>
      </c>
    </row>
    <row r="15" spans="1:14" ht="15" customHeight="1" x14ac:dyDescent="0.3">
      <c r="A15" s="2" t="s">
        <v>68</v>
      </c>
      <c r="B15" s="3" t="s">
        <v>69</v>
      </c>
      <c r="C15" s="2" t="s">
        <v>17</v>
      </c>
      <c r="D15" s="4">
        <v>64500</v>
      </c>
      <c r="E15" s="5">
        <v>2.2000000000000002</v>
      </c>
      <c r="F15" s="10" t="str">
        <f t="shared" si="0"/>
        <v>Under</v>
      </c>
      <c r="G15" s="10" t="str">
        <f t="shared" si="1"/>
        <v>Entry</v>
      </c>
      <c r="H15" s="10" t="str" cm="1">
        <f t="array" ref="H15">_xlfn.IFS(E15&gt;=4.5,"Outstanding",E15&gt;=3.5,"Good",E15&gt;=2.5,"Average",TRUE,"Poor")</f>
        <v>Poor</v>
      </c>
      <c r="J15" s="14" t="s">
        <v>193</v>
      </c>
    </row>
    <row r="16" spans="1:14" ht="15" customHeight="1" thickBot="1" x14ac:dyDescent="0.35">
      <c r="A16" s="6" t="s">
        <v>71</v>
      </c>
      <c r="B16" s="7" t="s">
        <v>72</v>
      </c>
      <c r="C16" s="6" t="s">
        <v>25</v>
      </c>
      <c r="D16" s="8">
        <v>90100</v>
      </c>
      <c r="E16" s="9">
        <v>4.3</v>
      </c>
      <c r="F16" s="10" t="str">
        <f t="shared" si="0"/>
        <v>Valued</v>
      </c>
      <c r="G16" s="10" t="str">
        <f t="shared" si="1"/>
        <v>High</v>
      </c>
      <c r="H16" s="10" t="str" cm="1">
        <f t="array" ref="H16">_xlfn.IFS(E16&gt;=4.5,"Outstanding",E16&gt;=3.5,"Good",E16&gt;=2.5,"Average",TRUE,"Poor")</f>
        <v>Good</v>
      </c>
      <c r="J16" s="15" t="s">
        <v>191</v>
      </c>
    </row>
    <row r="17" spans="1:10" ht="15" customHeight="1" thickBot="1" x14ac:dyDescent="0.35">
      <c r="A17" s="2" t="s">
        <v>74</v>
      </c>
      <c r="B17" s="3" t="s">
        <v>75</v>
      </c>
      <c r="C17" s="2" t="s">
        <v>31</v>
      </c>
      <c r="D17" s="4">
        <v>92800</v>
      </c>
      <c r="E17" s="5">
        <v>4.3</v>
      </c>
      <c r="F17" s="10" t="str">
        <f t="shared" si="0"/>
        <v>Valued</v>
      </c>
      <c r="G17" s="10" t="str">
        <f t="shared" si="1"/>
        <v>High</v>
      </c>
      <c r="H17" s="10" t="str" cm="1">
        <f t="array" ref="H17">_xlfn.IFS(E17&gt;=4.5,"Outstanding",E17&gt;=3.5,"Good",E17&gt;=2.5,"Average",TRUE,"Poor")</f>
        <v>Good</v>
      </c>
    </row>
    <row r="18" spans="1:10" ht="15" customHeight="1" x14ac:dyDescent="0.3">
      <c r="A18" s="6" t="s">
        <v>77</v>
      </c>
      <c r="B18" s="7" t="s">
        <v>78</v>
      </c>
      <c r="C18" s="6" t="s">
        <v>36</v>
      </c>
      <c r="D18" s="8">
        <v>72500</v>
      </c>
      <c r="E18" s="9">
        <v>4.3</v>
      </c>
      <c r="F18" s="10" t="str">
        <f t="shared" si="0"/>
        <v>Valued</v>
      </c>
      <c r="G18" s="10" t="str">
        <f t="shared" si="1"/>
        <v>Mid</v>
      </c>
      <c r="H18" s="10" t="str" cm="1">
        <f t="array" ref="H18">_xlfn.IFS(E18&gt;=4.5,"Outstanding",E18&gt;=3.5,"Good",E18&gt;=2.5,"Average",TRUE,"Poor")</f>
        <v>Good</v>
      </c>
      <c r="J18" s="17" t="s">
        <v>187</v>
      </c>
    </row>
    <row r="19" spans="1:10" ht="15" customHeight="1" x14ac:dyDescent="0.3">
      <c r="A19" s="2" t="s">
        <v>80</v>
      </c>
      <c r="B19" s="3" t="s">
        <v>81</v>
      </c>
      <c r="C19" s="2" t="s">
        <v>41</v>
      </c>
      <c r="D19" s="4">
        <v>70700</v>
      </c>
      <c r="E19" s="5">
        <v>5</v>
      </c>
      <c r="F19" s="10" t="str">
        <f t="shared" si="0"/>
        <v>Valued</v>
      </c>
      <c r="G19" s="10" t="str">
        <f t="shared" si="1"/>
        <v>Mid</v>
      </c>
      <c r="H19" s="10" t="str" cm="1">
        <f t="array" ref="H19">_xlfn.IFS(E19&gt;=4.5,"Outstanding",E19&gt;=3.5,"Good",E19&gt;=2.5,"Average",TRUE,"Poor")</f>
        <v>Outstanding</v>
      </c>
      <c r="J19" s="18" t="s">
        <v>185</v>
      </c>
    </row>
    <row r="20" spans="1:10" ht="15" customHeight="1" thickBot="1" x14ac:dyDescent="0.35">
      <c r="A20" s="6" t="s">
        <v>83</v>
      </c>
      <c r="B20" s="7" t="s">
        <v>84</v>
      </c>
      <c r="C20" s="6" t="s">
        <v>46</v>
      </c>
      <c r="D20" s="8">
        <v>54500</v>
      </c>
      <c r="E20" s="9">
        <v>4.9000000000000004</v>
      </c>
      <c r="F20" s="10" t="str">
        <f t="shared" si="0"/>
        <v>Valued</v>
      </c>
      <c r="G20" s="10" t="str">
        <f t="shared" si="1"/>
        <v>Entry</v>
      </c>
      <c r="H20" s="10" t="str" cm="1">
        <f t="array" ref="H20">_xlfn.IFS(E20&gt;=4.5,"Outstanding",E20&gt;=3.5,"Good",E20&gt;=2.5,"Average",TRUE,"Poor")</f>
        <v>Outstanding</v>
      </c>
      <c r="J20" s="19" t="s">
        <v>186</v>
      </c>
    </row>
    <row r="21" spans="1:10" ht="15" customHeight="1" x14ac:dyDescent="0.3">
      <c r="A21" s="2" t="s">
        <v>86</v>
      </c>
      <c r="B21" s="3" t="s">
        <v>87</v>
      </c>
      <c r="C21" s="2" t="s">
        <v>17</v>
      </c>
      <c r="D21" s="4">
        <v>73500</v>
      </c>
      <c r="E21" s="5">
        <v>3.8</v>
      </c>
      <c r="F21" s="10" t="str">
        <f t="shared" si="0"/>
        <v>Valued</v>
      </c>
      <c r="G21" s="10" t="str">
        <f t="shared" si="1"/>
        <v>Mid</v>
      </c>
      <c r="H21" s="10" t="str" cm="1">
        <f t="array" ref="H21">_xlfn.IFS(E21&gt;=4.5,"Outstanding",E21&gt;=3.5,"Good",E21&gt;=2.5,"Average",TRUE,"Poor")</f>
        <v>Good</v>
      </c>
    </row>
    <row r="22" spans="1:10" ht="15" customHeight="1" x14ac:dyDescent="0.3">
      <c r="A22" s="6" t="s">
        <v>89</v>
      </c>
      <c r="B22" s="7" t="s">
        <v>90</v>
      </c>
      <c r="C22" s="6" t="s">
        <v>25</v>
      </c>
      <c r="D22" s="8">
        <v>79400</v>
      </c>
      <c r="E22" s="9">
        <v>3.3</v>
      </c>
      <c r="F22" s="10" t="str">
        <f t="shared" si="0"/>
        <v>Valued</v>
      </c>
      <c r="G22" s="10" t="str">
        <f t="shared" si="1"/>
        <v>Mid</v>
      </c>
      <c r="H22" s="10" t="str" cm="1">
        <f t="array" ref="H22">_xlfn.IFS(E22&gt;=4.5,"Outstanding",E22&gt;=3.5,"Good",E22&gt;=2.5,"Average",TRUE,"Poor")</f>
        <v>Average</v>
      </c>
    </row>
    <row r="23" spans="1:10" ht="15" customHeight="1" x14ac:dyDescent="0.3">
      <c r="A23" s="2" t="s">
        <v>92</v>
      </c>
      <c r="B23" s="3" t="s">
        <v>93</v>
      </c>
      <c r="C23" s="2" t="s">
        <v>31</v>
      </c>
      <c r="D23" s="4">
        <v>98500</v>
      </c>
      <c r="E23" s="5">
        <v>2.7</v>
      </c>
      <c r="F23" s="10" t="str">
        <f t="shared" si="0"/>
        <v>Under</v>
      </c>
      <c r="G23" s="10" t="str">
        <f t="shared" si="1"/>
        <v>High</v>
      </c>
      <c r="H23" s="10" t="str" cm="1">
        <f t="array" ref="H23">_xlfn.IFS(E23&gt;=4.5,"Outstanding",E23&gt;=3.5,"Good",E23&gt;=2.5,"Average",TRUE,"Poor")</f>
        <v>Average</v>
      </c>
    </row>
    <row r="24" spans="1:10" ht="15" customHeight="1" x14ac:dyDescent="0.3">
      <c r="A24" s="6" t="s">
        <v>96</v>
      </c>
      <c r="B24" s="7" t="s">
        <v>97</v>
      </c>
      <c r="C24" s="6" t="s">
        <v>36</v>
      </c>
      <c r="D24" s="8">
        <v>81600</v>
      </c>
      <c r="E24" s="9">
        <v>2.7</v>
      </c>
      <c r="F24" s="10" t="str">
        <f t="shared" si="0"/>
        <v>Under</v>
      </c>
      <c r="G24" s="10" t="str">
        <f t="shared" si="1"/>
        <v>Mid</v>
      </c>
      <c r="H24" s="10" t="str" cm="1">
        <f t="array" ref="H24">_xlfn.IFS(E24&gt;=4.5,"Outstanding",E24&gt;=3.5,"Good",E24&gt;=2.5,"Average",TRUE,"Poor")</f>
        <v>Average</v>
      </c>
    </row>
    <row r="25" spans="1:10" ht="15" customHeight="1" x14ac:dyDescent="0.3">
      <c r="A25" s="2" t="s">
        <v>99</v>
      </c>
      <c r="B25" s="3" t="s">
        <v>100</v>
      </c>
      <c r="C25" s="2" t="s">
        <v>41</v>
      </c>
      <c r="D25" s="4">
        <v>67700</v>
      </c>
      <c r="E25" s="5">
        <v>3.4</v>
      </c>
      <c r="F25" s="10" t="str">
        <f t="shared" si="0"/>
        <v>Valued</v>
      </c>
      <c r="G25" s="10" t="str">
        <f t="shared" si="1"/>
        <v>Mid</v>
      </c>
      <c r="H25" s="10" t="str" cm="1">
        <f t="array" ref="H25">_xlfn.IFS(E25&gt;=4.5,"Outstanding",E25&gt;=3.5,"Good",E25&gt;=2.5,"Average",TRUE,"Poor")</f>
        <v>Average</v>
      </c>
    </row>
    <row r="26" spans="1:10" ht="15" customHeight="1" x14ac:dyDescent="0.3">
      <c r="A26" s="6" t="s">
        <v>102</v>
      </c>
      <c r="B26" s="7" t="s">
        <v>103</v>
      </c>
      <c r="C26" s="6" t="s">
        <v>46</v>
      </c>
      <c r="D26" s="8">
        <v>53500</v>
      </c>
      <c r="E26" s="9">
        <v>4</v>
      </c>
      <c r="F26" s="10" t="str">
        <f t="shared" si="0"/>
        <v>Valued</v>
      </c>
      <c r="G26" s="10" t="str">
        <f t="shared" si="1"/>
        <v>Entry</v>
      </c>
      <c r="H26" s="10" t="str" cm="1">
        <f t="array" ref="H26">_xlfn.IFS(E26&gt;=4.5,"Outstanding",E26&gt;=3.5,"Good",E26&gt;=2.5,"Average",TRUE,"Poor")</f>
        <v>Good</v>
      </c>
    </row>
    <row r="27" spans="1:10" ht="15" customHeight="1" x14ac:dyDescent="0.3">
      <c r="A27" s="2" t="s">
        <v>105</v>
      </c>
      <c r="B27" s="3" t="s">
        <v>106</v>
      </c>
      <c r="C27" s="2" t="s">
        <v>17</v>
      </c>
      <c r="D27" s="4">
        <v>51200</v>
      </c>
      <c r="E27" s="5">
        <v>2.6</v>
      </c>
      <c r="F27" s="10" t="str">
        <f t="shared" si="0"/>
        <v>Under</v>
      </c>
      <c r="G27" s="10" t="str">
        <f t="shared" si="1"/>
        <v>Entry</v>
      </c>
      <c r="H27" s="10" t="str" cm="1">
        <f t="array" ref="H27">_xlfn.IFS(E27&gt;=4.5,"Outstanding",E27&gt;=3.5,"Good",E27&gt;=2.5,"Average",TRUE,"Poor")</f>
        <v>Average</v>
      </c>
    </row>
    <row r="28" spans="1:10" ht="15" customHeight="1" x14ac:dyDescent="0.3">
      <c r="A28" s="6" t="s">
        <v>108</v>
      </c>
      <c r="B28" s="7" t="s">
        <v>109</v>
      </c>
      <c r="C28" s="6" t="s">
        <v>25</v>
      </c>
      <c r="D28" s="8">
        <v>91000</v>
      </c>
      <c r="E28" s="9">
        <v>2.2999999999999998</v>
      </c>
      <c r="F28" s="10" t="str">
        <f t="shared" si="0"/>
        <v>Under</v>
      </c>
      <c r="G28" s="10" t="str">
        <f t="shared" si="1"/>
        <v>High</v>
      </c>
      <c r="H28" s="10" t="str" cm="1">
        <f t="array" ref="H28">_xlfn.IFS(E28&gt;=4.5,"Outstanding",E28&gt;=3.5,"Good",E28&gt;=2.5,"Average",TRUE,"Poor")</f>
        <v>Poor</v>
      </c>
    </row>
    <row r="29" spans="1:10" ht="15" customHeight="1" x14ac:dyDescent="0.3">
      <c r="A29" s="2" t="s">
        <v>111</v>
      </c>
      <c r="B29" s="3" t="s">
        <v>112</v>
      </c>
      <c r="C29" s="2" t="s">
        <v>31</v>
      </c>
      <c r="D29" s="4">
        <v>86600</v>
      </c>
      <c r="E29" s="5">
        <v>3.5</v>
      </c>
      <c r="F29" s="10" t="str">
        <f t="shared" si="0"/>
        <v>Valued</v>
      </c>
      <c r="G29" s="10" t="str">
        <f t="shared" si="1"/>
        <v>Mid</v>
      </c>
      <c r="H29" s="10" t="str" cm="1">
        <f t="array" ref="H29">_xlfn.IFS(E29&gt;=4.5,"Outstanding",E29&gt;=3.5,"Good",E29&gt;=2.5,"Average",TRUE,"Poor")</f>
        <v>Good</v>
      </c>
    </row>
    <row r="30" spans="1:10" ht="15" customHeight="1" x14ac:dyDescent="0.3">
      <c r="A30" s="6" t="s">
        <v>114</v>
      </c>
      <c r="B30" s="7" t="s">
        <v>115</v>
      </c>
      <c r="C30" s="6" t="s">
        <v>36</v>
      </c>
      <c r="D30" s="8">
        <v>66600</v>
      </c>
      <c r="E30" s="9">
        <v>3.3</v>
      </c>
      <c r="F30" s="10" t="str">
        <f t="shared" si="0"/>
        <v>Valued</v>
      </c>
      <c r="G30" s="10" t="str">
        <f t="shared" si="1"/>
        <v>Mid</v>
      </c>
      <c r="H30" s="10" t="str" cm="1">
        <f t="array" ref="H30">_xlfn.IFS(E30&gt;=4.5,"Outstanding",E30&gt;=3.5,"Good",E30&gt;=2.5,"Average",TRUE,"Poor")</f>
        <v>Average</v>
      </c>
    </row>
    <row r="31" spans="1:10" ht="15" customHeight="1" x14ac:dyDescent="0.3">
      <c r="A31" s="2" t="s">
        <v>117</v>
      </c>
      <c r="B31" s="3" t="s">
        <v>118</v>
      </c>
      <c r="C31" s="2" t="s">
        <v>41</v>
      </c>
      <c r="D31" s="4">
        <v>66500</v>
      </c>
      <c r="E31" s="5">
        <v>2.9</v>
      </c>
      <c r="F31" s="10" t="str">
        <f t="shared" si="0"/>
        <v>Under</v>
      </c>
      <c r="G31" s="10" t="str">
        <f t="shared" si="1"/>
        <v>Mid</v>
      </c>
      <c r="H31" s="10" t="str" cm="1">
        <f t="array" ref="H31">_xlfn.IFS(E31&gt;=4.5,"Outstanding",E31&gt;=3.5,"Good",E31&gt;=2.5,"Average",TRUE,"Poor")</f>
        <v>Average</v>
      </c>
    </row>
    <row r="32" spans="1:10" ht="15" customHeight="1" x14ac:dyDescent="0.3">
      <c r="A32" s="6" t="s">
        <v>119</v>
      </c>
      <c r="B32" s="7" t="s">
        <v>120</v>
      </c>
      <c r="C32" s="6" t="s">
        <v>46</v>
      </c>
      <c r="D32" s="8">
        <v>55200</v>
      </c>
      <c r="E32" s="9">
        <v>4.5999999999999996</v>
      </c>
      <c r="F32" s="10" t="str">
        <f t="shared" si="0"/>
        <v>Valued</v>
      </c>
      <c r="G32" s="10" t="str">
        <f t="shared" si="1"/>
        <v>Entry</v>
      </c>
      <c r="H32" s="10" t="str" cm="1">
        <f t="array" ref="H32">_xlfn.IFS(E32&gt;=4.5,"Outstanding",E32&gt;=3.5,"Good",E32&gt;=2.5,"Average",TRUE,"Poor")</f>
        <v>Outstanding</v>
      </c>
    </row>
    <row r="33" spans="1:8" ht="15" customHeight="1" x14ac:dyDescent="0.3">
      <c r="A33" s="2" t="s">
        <v>122</v>
      </c>
      <c r="B33" s="3" t="s">
        <v>123</v>
      </c>
      <c r="C33" s="2" t="s">
        <v>17</v>
      </c>
      <c r="D33" s="4">
        <v>64400</v>
      </c>
      <c r="E33" s="5">
        <v>2.1</v>
      </c>
      <c r="F33" s="10" t="str">
        <f t="shared" si="0"/>
        <v>Under</v>
      </c>
      <c r="G33" s="10" t="str">
        <f t="shared" si="1"/>
        <v>Entry</v>
      </c>
      <c r="H33" s="10" t="str" cm="1">
        <f t="array" ref="H33">_xlfn.IFS(E33&gt;=4.5,"Outstanding",E33&gt;=3.5,"Good",E33&gt;=2.5,"Average",TRUE,"Poor")</f>
        <v>Poor</v>
      </c>
    </row>
    <row r="34" spans="1:8" ht="15" customHeight="1" x14ac:dyDescent="0.3">
      <c r="A34" s="6" t="s">
        <v>124</v>
      </c>
      <c r="B34" s="7" t="s">
        <v>125</v>
      </c>
      <c r="C34" s="6" t="s">
        <v>25</v>
      </c>
      <c r="D34" s="8">
        <v>72400</v>
      </c>
      <c r="E34" s="9">
        <v>3.2</v>
      </c>
      <c r="F34" s="10" t="str">
        <f t="shared" si="0"/>
        <v>Valued</v>
      </c>
      <c r="G34" s="10" t="str">
        <f t="shared" si="1"/>
        <v>Mid</v>
      </c>
      <c r="H34" s="10" t="str" cm="1">
        <f t="array" ref="H34">_xlfn.IFS(E34&gt;=4.5,"Outstanding",E34&gt;=3.5,"Good",E34&gt;=2.5,"Average",TRUE,"Poor")</f>
        <v>Average</v>
      </c>
    </row>
    <row r="35" spans="1:8" ht="15" customHeight="1" x14ac:dyDescent="0.3">
      <c r="A35" s="2" t="s">
        <v>128</v>
      </c>
      <c r="B35" s="3" t="s">
        <v>129</v>
      </c>
      <c r="C35" s="2" t="s">
        <v>31</v>
      </c>
      <c r="D35" s="4">
        <v>96800</v>
      </c>
      <c r="E35" s="5">
        <v>5</v>
      </c>
      <c r="F35" s="10" t="str">
        <f t="shared" si="0"/>
        <v>Valued</v>
      </c>
      <c r="G35" s="10" t="str">
        <f t="shared" si="1"/>
        <v>High</v>
      </c>
      <c r="H35" s="10" t="str" cm="1">
        <f t="array" ref="H35">_xlfn.IFS(E35&gt;=4.5,"Outstanding",E35&gt;=3.5,"Good",E35&gt;=2.5,"Average",TRUE,"Poor")</f>
        <v>Outstanding</v>
      </c>
    </row>
    <row r="36" spans="1:8" ht="15" customHeight="1" x14ac:dyDescent="0.3">
      <c r="A36" s="6" t="s">
        <v>131</v>
      </c>
      <c r="B36" s="7" t="s">
        <v>132</v>
      </c>
      <c r="C36" s="6" t="s">
        <v>36</v>
      </c>
      <c r="D36" s="8">
        <v>66600</v>
      </c>
      <c r="E36" s="9">
        <v>2.5</v>
      </c>
      <c r="F36" s="10" t="str">
        <f t="shared" si="0"/>
        <v>Under</v>
      </c>
      <c r="G36" s="10" t="str">
        <f t="shared" si="1"/>
        <v>Mid</v>
      </c>
      <c r="H36" s="10" t="str" cm="1">
        <f t="array" ref="H36">_xlfn.IFS(E36&gt;=4.5,"Outstanding",E36&gt;=3.5,"Good",E36&gt;=2.5,"Average",TRUE,"Poor")</f>
        <v>Average</v>
      </c>
    </row>
    <row r="37" spans="1:8" ht="15" customHeight="1" x14ac:dyDescent="0.3">
      <c r="A37" s="2" t="s">
        <v>133</v>
      </c>
      <c r="B37" s="3" t="s">
        <v>134</v>
      </c>
      <c r="C37" s="2" t="s">
        <v>41</v>
      </c>
      <c r="D37" s="4">
        <v>51800</v>
      </c>
      <c r="E37" s="5">
        <v>4.8</v>
      </c>
      <c r="F37" s="10" t="str">
        <f t="shared" si="0"/>
        <v>Valued</v>
      </c>
      <c r="G37" s="10" t="str">
        <f t="shared" si="1"/>
        <v>Entry</v>
      </c>
      <c r="H37" s="10" t="str" cm="1">
        <f t="array" ref="H37">_xlfn.IFS(E37&gt;=4.5,"Outstanding",E37&gt;=3.5,"Good",E37&gt;=2.5,"Average",TRUE,"Poor")</f>
        <v>Outstanding</v>
      </c>
    </row>
    <row r="38" spans="1:8" ht="15" customHeight="1" x14ac:dyDescent="0.3">
      <c r="A38" s="6" t="s">
        <v>136</v>
      </c>
      <c r="B38" s="7" t="s">
        <v>137</v>
      </c>
      <c r="C38" s="6" t="s">
        <v>46</v>
      </c>
      <c r="D38" s="8">
        <v>67800</v>
      </c>
      <c r="E38" s="9">
        <v>2.8</v>
      </c>
      <c r="F38" s="10" t="str">
        <f t="shared" si="0"/>
        <v>Under</v>
      </c>
      <c r="G38" s="10" t="str">
        <f t="shared" si="1"/>
        <v>Mid</v>
      </c>
      <c r="H38" s="10" t="str" cm="1">
        <f t="array" ref="H38">_xlfn.IFS(E38&gt;=4.5,"Outstanding",E38&gt;=3.5,"Good",E38&gt;=2.5,"Average",TRUE,"Poor")</f>
        <v>Average</v>
      </c>
    </row>
    <row r="39" spans="1:8" ht="15" customHeight="1" x14ac:dyDescent="0.3">
      <c r="A39" s="2" t="s">
        <v>139</v>
      </c>
      <c r="B39" s="3" t="s">
        <v>140</v>
      </c>
      <c r="C39" s="2" t="s">
        <v>17</v>
      </c>
      <c r="D39" s="4">
        <v>74600</v>
      </c>
      <c r="E39" s="5">
        <v>4.7</v>
      </c>
      <c r="F39" s="10" t="str">
        <f t="shared" si="0"/>
        <v>Valued</v>
      </c>
      <c r="G39" s="10" t="str">
        <f t="shared" si="1"/>
        <v>Mid</v>
      </c>
      <c r="H39" s="10" t="str" cm="1">
        <f t="array" ref="H39">_xlfn.IFS(E39&gt;=4.5,"Outstanding",E39&gt;=3.5,"Good",E39&gt;=2.5,"Average",TRUE,"Poor")</f>
        <v>Outstanding</v>
      </c>
    </row>
    <row r="40" spans="1:8" ht="15" customHeight="1" x14ac:dyDescent="0.3">
      <c r="A40" s="6" t="s">
        <v>142</v>
      </c>
      <c r="B40" s="7" t="s">
        <v>143</v>
      </c>
      <c r="C40" s="6" t="s">
        <v>25</v>
      </c>
      <c r="D40" s="8">
        <v>65500</v>
      </c>
      <c r="E40" s="9">
        <v>4.2</v>
      </c>
      <c r="F40" s="10" t="str">
        <f t="shared" si="0"/>
        <v>Valued</v>
      </c>
      <c r="G40" s="10" t="str">
        <f t="shared" si="1"/>
        <v>Mid</v>
      </c>
      <c r="H40" s="10" t="str" cm="1">
        <f t="array" ref="H40">_xlfn.IFS(E40&gt;=4.5,"Outstanding",E40&gt;=3.5,"Good",E40&gt;=2.5,"Average",TRUE,"Poor")</f>
        <v>Good</v>
      </c>
    </row>
    <row r="41" spans="1:8" ht="15" customHeight="1" x14ac:dyDescent="0.3">
      <c r="A41" s="2" t="s">
        <v>145</v>
      </c>
      <c r="B41" s="3" t="s">
        <v>146</v>
      </c>
      <c r="C41" s="2" t="s">
        <v>31</v>
      </c>
      <c r="D41" s="4">
        <v>62300</v>
      </c>
      <c r="E41" s="5">
        <v>4.5</v>
      </c>
      <c r="F41" s="10" t="str">
        <f t="shared" si="0"/>
        <v>Valued</v>
      </c>
      <c r="G41" s="10" t="str">
        <f t="shared" si="1"/>
        <v>Entry</v>
      </c>
      <c r="H41" s="10" t="str" cm="1">
        <f t="array" ref="H41">_xlfn.IFS(E41&gt;=4.5,"Outstanding",E41&gt;=3.5,"Good",E41&gt;=2.5,"Average",TRUE,"Poor")</f>
        <v>Outstanding</v>
      </c>
    </row>
    <row r="42" spans="1:8" ht="15" customHeight="1" x14ac:dyDescent="0.3">
      <c r="A42" s="6" t="s">
        <v>148</v>
      </c>
      <c r="B42" s="7" t="s">
        <v>149</v>
      </c>
      <c r="C42" s="6" t="s">
        <v>36</v>
      </c>
      <c r="D42" s="8">
        <v>61700</v>
      </c>
      <c r="E42" s="9">
        <v>4</v>
      </c>
      <c r="F42" s="10" t="str">
        <f t="shared" si="0"/>
        <v>Valued</v>
      </c>
      <c r="G42" s="10" t="str">
        <f t="shared" si="1"/>
        <v>Entry</v>
      </c>
      <c r="H42" s="10" t="str" cm="1">
        <f t="array" ref="H42">_xlfn.IFS(E42&gt;=4.5,"Outstanding",E42&gt;=3.5,"Good",E42&gt;=2.5,"Average",TRUE,"Poor")</f>
        <v>Good</v>
      </c>
    </row>
    <row r="43" spans="1:8" ht="15" customHeight="1" x14ac:dyDescent="0.3">
      <c r="A43" s="2" t="s">
        <v>151</v>
      </c>
      <c r="B43" s="3" t="s">
        <v>152</v>
      </c>
      <c r="C43" s="2" t="s">
        <v>41</v>
      </c>
      <c r="D43" s="4">
        <v>70300</v>
      </c>
      <c r="E43" s="5">
        <v>2.5</v>
      </c>
      <c r="F43" s="10" t="str">
        <f t="shared" si="0"/>
        <v>Under</v>
      </c>
      <c r="G43" s="10" t="str">
        <f t="shared" si="1"/>
        <v>Mid</v>
      </c>
      <c r="H43" s="10" t="str" cm="1">
        <f t="array" ref="H43">_xlfn.IFS(E43&gt;=4.5,"Outstanding",E43&gt;=3.5,"Good",E43&gt;=2.5,"Average",TRUE,"Poor")</f>
        <v>Average</v>
      </c>
    </row>
    <row r="44" spans="1:8" ht="15" customHeight="1" x14ac:dyDescent="0.3">
      <c r="A44" s="6" t="s">
        <v>154</v>
      </c>
      <c r="B44" s="7" t="s">
        <v>155</v>
      </c>
      <c r="C44" s="6" t="s">
        <v>46</v>
      </c>
      <c r="D44" s="8">
        <v>67400</v>
      </c>
      <c r="E44" s="9">
        <v>2.5</v>
      </c>
      <c r="F44" s="10" t="str">
        <f t="shared" si="0"/>
        <v>Under</v>
      </c>
      <c r="G44" s="10" t="str">
        <f t="shared" si="1"/>
        <v>Mid</v>
      </c>
      <c r="H44" s="10" t="str" cm="1">
        <f t="array" ref="H44">_xlfn.IFS(E44&gt;=4.5,"Outstanding",E44&gt;=3.5,"Good",E44&gt;=2.5,"Average",TRUE,"Poor")</f>
        <v>Average</v>
      </c>
    </row>
    <row r="45" spans="1:8" ht="15" customHeight="1" x14ac:dyDescent="0.3">
      <c r="A45" s="2" t="s">
        <v>157</v>
      </c>
      <c r="B45" s="3" t="s">
        <v>158</v>
      </c>
      <c r="C45" s="2" t="s">
        <v>17</v>
      </c>
      <c r="D45" s="4">
        <v>56400</v>
      </c>
      <c r="E45" s="5">
        <v>2.9</v>
      </c>
      <c r="F45" s="10" t="str">
        <f t="shared" si="0"/>
        <v>Under</v>
      </c>
      <c r="G45" s="10" t="str">
        <f t="shared" si="1"/>
        <v>Entry</v>
      </c>
      <c r="H45" s="10" t="str" cm="1">
        <f t="array" ref="H45">_xlfn.IFS(E45&gt;=4.5,"Outstanding",E45&gt;=3.5,"Good",E45&gt;=2.5,"Average",TRUE,"Poor")</f>
        <v>Average</v>
      </c>
    </row>
    <row r="46" spans="1:8" ht="15" customHeight="1" x14ac:dyDescent="0.3">
      <c r="A46" s="6" t="s">
        <v>160</v>
      </c>
      <c r="B46" s="7" t="s">
        <v>161</v>
      </c>
      <c r="C46" s="6" t="s">
        <v>25</v>
      </c>
      <c r="D46" s="8">
        <v>59500</v>
      </c>
      <c r="E46" s="9">
        <v>4.9000000000000004</v>
      </c>
      <c r="F46" s="10" t="str">
        <f t="shared" si="0"/>
        <v>Valued</v>
      </c>
      <c r="G46" s="10" t="str">
        <f t="shared" si="1"/>
        <v>Entry</v>
      </c>
      <c r="H46" s="10" t="str" cm="1">
        <f t="array" ref="H46">_xlfn.IFS(E46&gt;=4.5,"Outstanding",E46&gt;=3.5,"Good",E46&gt;=2.5,"Average",TRUE,"Poor")</f>
        <v>Outstanding</v>
      </c>
    </row>
    <row r="47" spans="1:8" ht="15" customHeight="1" x14ac:dyDescent="0.3">
      <c r="A47" s="2" t="s">
        <v>163</v>
      </c>
      <c r="B47" s="3" t="s">
        <v>164</v>
      </c>
      <c r="C47" s="2" t="s">
        <v>31</v>
      </c>
      <c r="D47" s="4">
        <v>77100</v>
      </c>
      <c r="E47" s="5">
        <v>2.5</v>
      </c>
      <c r="F47" s="10" t="str">
        <f t="shared" si="0"/>
        <v>Under</v>
      </c>
      <c r="G47" s="10" t="str">
        <f t="shared" si="1"/>
        <v>Mid</v>
      </c>
      <c r="H47" s="10" t="str" cm="1">
        <f t="array" ref="H47">_xlfn.IFS(E47&gt;=4.5,"Outstanding",E47&gt;=3.5,"Good",E47&gt;=2.5,"Average",TRUE,"Poor")</f>
        <v>Average</v>
      </c>
    </row>
    <row r="48" spans="1:8" ht="15" customHeight="1" x14ac:dyDescent="0.3">
      <c r="A48" s="6" t="s">
        <v>166</v>
      </c>
      <c r="B48" s="7" t="s">
        <v>167</v>
      </c>
      <c r="C48" s="6" t="s">
        <v>36</v>
      </c>
      <c r="D48" s="8">
        <v>81500</v>
      </c>
      <c r="E48" s="9">
        <v>2.2999999999999998</v>
      </c>
      <c r="F48" s="10" t="str">
        <f t="shared" si="0"/>
        <v>Under</v>
      </c>
      <c r="G48" s="10" t="str">
        <f t="shared" si="1"/>
        <v>Mid</v>
      </c>
      <c r="H48" s="10" t="str" cm="1">
        <f t="array" ref="H48">_xlfn.IFS(E48&gt;=4.5,"Outstanding",E48&gt;=3.5,"Good",E48&gt;=2.5,"Average",TRUE,"Poor")</f>
        <v>Poor</v>
      </c>
    </row>
    <row r="49" spans="1:8" ht="15" customHeight="1" x14ac:dyDescent="0.3">
      <c r="A49" s="2" t="s">
        <v>169</v>
      </c>
      <c r="B49" s="3" t="s">
        <v>170</v>
      </c>
      <c r="C49" s="2" t="s">
        <v>41</v>
      </c>
      <c r="D49" s="4">
        <v>64500</v>
      </c>
      <c r="E49" s="5">
        <v>4.2</v>
      </c>
      <c r="F49" s="10" t="str">
        <f t="shared" si="0"/>
        <v>Valued</v>
      </c>
      <c r="G49" s="10" t="str">
        <f t="shared" si="1"/>
        <v>Entry</v>
      </c>
      <c r="H49" s="10" t="str" cm="1">
        <f t="array" ref="H49">_xlfn.IFS(E49&gt;=4.5,"Outstanding",E49&gt;=3.5,"Good",E49&gt;=2.5,"Average",TRUE,"Poor")</f>
        <v>Good</v>
      </c>
    </row>
    <row r="50" spans="1:8" ht="15" customHeight="1" x14ac:dyDescent="0.3">
      <c r="A50" s="6" t="s">
        <v>172</v>
      </c>
      <c r="B50" s="7" t="s">
        <v>173</v>
      </c>
      <c r="C50" s="6" t="s">
        <v>46</v>
      </c>
      <c r="D50" s="8">
        <v>69600</v>
      </c>
      <c r="E50" s="9">
        <v>3.5</v>
      </c>
      <c r="F50" s="10" t="str">
        <f t="shared" si="0"/>
        <v>Valued</v>
      </c>
      <c r="G50" s="10" t="str">
        <f t="shared" si="1"/>
        <v>Mid</v>
      </c>
      <c r="H50" s="10" t="str" cm="1">
        <f t="array" ref="H50">_xlfn.IFS(E50&gt;=4.5,"Outstanding",E50&gt;=3.5,"Good",E50&gt;=2.5,"Average",TRUE,"Poor")</f>
        <v>Good</v>
      </c>
    </row>
    <row r="51" spans="1:8" ht="15" customHeight="1" x14ac:dyDescent="0.3">
      <c r="A51" s="2" t="s">
        <v>175</v>
      </c>
      <c r="B51" s="3" t="s">
        <v>176</v>
      </c>
      <c r="C51" s="2" t="s">
        <v>17</v>
      </c>
      <c r="D51" s="4">
        <v>66700</v>
      </c>
      <c r="E51" s="5">
        <v>4.8</v>
      </c>
      <c r="F51" s="10" t="str">
        <f t="shared" si="0"/>
        <v>Valued</v>
      </c>
      <c r="G51" s="10" t="str">
        <f t="shared" si="1"/>
        <v>Mid</v>
      </c>
      <c r="H51" s="10" t="str" cm="1">
        <f t="array" ref="H51">_xlfn.IFS(E51&gt;=4.5,"Outstanding",E51&gt;=3.5,"Good",E51&gt;=2.5,"Average",TRUE,"Poor")</f>
        <v>Outstanding</v>
      </c>
    </row>
    <row r="52" spans="1:8" ht="15" customHeight="1" x14ac:dyDescent="0.3">
      <c r="A52" s="6" t="s">
        <v>178</v>
      </c>
      <c r="B52" s="7" t="s">
        <v>179</v>
      </c>
      <c r="C52" s="6" t="s">
        <v>25</v>
      </c>
      <c r="D52" s="8">
        <v>73800</v>
      </c>
      <c r="E52" s="9">
        <v>2.6</v>
      </c>
      <c r="F52" s="10" t="str">
        <f t="shared" si="0"/>
        <v>Under</v>
      </c>
      <c r="G52" s="10" t="str">
        <f t="shared" si="1"/>
        <v>Mid</v>
      </c>
      <c r="H52" s="10" t="str" cm="1">
        <f t="array" ref="H52">_xlfn.IFS(E52&gt;=4.5,"Outstanding",E52&gt;=3.5,"Good",E52&gt;=2.5,"Average",TRUE,"Poor")</f>
        <v>Average</v>
      </c>
    </row>
    <row r="53" spans="1:8" x14ac:dyDescent="0.3">
      <c r="H53" s="13"/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Day2_IF_Functions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2026-03-06T22:00:07Z</dcterms:modified>
  <dc:language>en-US</dc:language>
</cp:coreProperties>
</file>